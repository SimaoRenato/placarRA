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renat\OneDrive\Kart\Placar RA\Painel LED\painel\"/>
    </mc:Choice>
  </mc:AlternateContent>
  <xr:revisionPtr revIDLastSave="102" documentId="114_{DC01734A-ED8E-427D-93BC-82E147046C99}" xr6:coauthVersionLast="45" xr6:coauthVersionMax="45" xr10:uidLastSave="{2D456871-BBB9-4B80-BDDF-1405CD188AB8}"/>
  <bookViews>
    <workbookView xWindow="-120" yWindow="-120" windowWidth="20730" windowHeight="11160" firstSheet="11" activeTab="11" xr2:uid="{95BE1B22-54D3-4DD5-85C7-840B12A5F71B}"/>
  </bookViews>
  <sheets>
    <sheet name="0" sheetId="6" r:id="rId1"/>
    <sheet name="1" sheetId="7" r:id="rId2"/>
    <sheet name="2" sheetId="8" r:id="rId3"/>
    <sheet name="3" sheetId="9" r:id="rId4"/>
    <sheet name="4" sheetId="10" r:id="rId5"/>
    <sheet name="5" sheetId="11" r:id="rId6"/>
    <sheet name="6" sheetId="12" r:id="rId7"/>
    <sheet name="7" sheetId="13" r:id="rId8"/>
    <sheet name="8" sheetId="14" r:id="rId9"/>
    <sheet name="9" sheetId="15" r:id="rId10"/>
    <sheet name="A" sheetId="16" r:id="rId11"/>
    <sheet name="B" sheetId="17" r:id="rId12"/>
    <sheet name="C" sheetId="18" r:id="rId13"/>
    <sheet name="D" sheetId="19" r:id="rId14"/>
    <sheet name="E" sheetId="20" r:id="rId15"/>
    <sheet name="F" sheetId="21" r:id="rId16"/>
    <sheet name="G" sheetId="22" r:id="rId17"/>
    <sheet name="H" sheetId="23" r:id="rId18"/>
    <sheet name="I" sheetId="24" r:id="rId19"/>
    <sheet name="J" sheetId="25" r:id="rId20"/>
    <sheet name="K" sheetId="5" r:id="rId21"/>
    <sheet name="L" sheetId="26" r:id="rId22"/>
    <sheet name="M" sheetId="27" r:id="rId23"/>
    <sheet name="N" sheetId="28" r:id="rId24"/>
    <sheet name="O" sheetId="29" r:id="rId25"/>
    <sheet name="P" sheetId="30" r:id="rId26"/>
    <sheet name="Q" sheetId="31" r:id="rId27"/>
    <sheet name="R" sheetId="32" r:id="rId28"/>
    <sheet name="S" sheetId="33" r:id="rId29"/>
    <sheet name="T" sheetId="34" r:id="rId30"/>
    <sheet name="U" sheetId="35" r:id="rId31"/>
    <sheet name="V" sheetId="36" r:id="rId32"/>
    <sheet name="W" sheetId="37" r:id="rId33"/>
    <sheet name="X" sheetId="38" r:id="rId34"/>
    <sheet name="Y" sheetId="39" r:id="rId35"/>
    <sheet name="Z" sheetId="40" r:id="rId36"/>
    <sheet name="A (2)" sheetId="41" r:id="rId37"/>
    <sheet name="B (2)" sheetId="42" r:id="rId38"/>
    <sheet name="C (2)" sheetId="43" r:id="rId39"/>
    <sheet name="D (2)" sheetId="44" r:id="rId40"/>
    <sheet name="E (2)" sheetId="45" r:id="rId41"/>
    <sheet name="F (2)" sheetId="46" r:id="rId42"/>
    <sheet name="G (2)" sheetId="47" r:id="rId43"/>
    <sheet name="H (2)" sheetId="48" r:id="rId44"/>
    <sheet name="I (2)" sheetId="49" r:id="rId45"/>
    <sheet name="J (2)" sheetId="50" r:id="rId46"/>
    <sheet name="K (2)" sheetId="51" r:id="rId47"/>
    <sheet name="L (2)" sheetId="52" r:id="rId48"/>
    <sheet name="M (2)" sheetId="53" r:id="rId49"/>
    <sheet name="N (2)" sheetId="54" r:id="rId50"/>
    <sheet name="O (2)" sheetId="55" r:id="rId51"/>
    <sheet name="P (2)" sheetId="56" r:id="rId52"/>
    <sheet name="Q (2)" sheetId="57" r:id="rId53"/>
    <sheet name="R (2)" sheetId="58" r:id="rId54"/>
    <sheet name="S (2)" sheetId="59" r:id="rId55"/>
    <sheet name="T (2)" sheetId="60" r:id="rId56"/>
    <sheet name="U (2)" sheetId="61" r:id="rId57"/>
    <sheet name="V (2)" sheetId="62" r:id="rId58"/>
    <sheet name="W (2)" sheetId="63" r:id="rId59"/>
    <sheet name="X (2)" sheetId="64" r:id="rId60"/>
    <sheet name="Y (2)" sheetId="65" r:id="rId61"/>
    <sheet name="Z (2)" sheetId="66" r:id="rId62"/>
    <sheet name="Bytes por buffer" sheetId="2" r:id="rId63"/>
    <sheet name="Planilha3" sheetId="3" r:id="rId64"/>
    <sheet name="Base Painel" sheetId="4" r:id="rId6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3" i="17" l="1"/>
  <c r="Z3" i="17"/>
  <c r="Y3" i="17"/>
  <c r="X3" i="17"/>
  <c r="W3" i="17"/>
  <c r="V3" i="17"/>
  <c r="U3" i="17"/>
  <c r="T3" i="17"/>
  <c r="AC20" i="17"/>
  <c r="AC19" i="17"/>
  <c r="AC18" i="17"/>
  <c r="AC17" i="17"/>
  <c r="AC16" i="17"/>
  <c r="AC15" i="17"/>
  <c r="AC14" i="17"/>
  <c r="AC13" i="17"/>
  <c r="AA8" i="17"/>
  <c r="Z8" i="17"/>
  <c r="Y8" i="17"/>
  <c r="X8" i="17"/>
  <c r="W8" i="17"/>
  <c r="V8" i="17"/>
  <c r="U8" i="17"/>
  <c r="T8" i="17"/>
  <c r="AA7" i="17"/>
  <c r="Z7" i="17"/>
  <c r="Y7" i="17"/>
  <c r="X7" i="17"/>
  <c r="W7" i="17"/>
  <c r="V7" i="17"/>
  <c r="U7" i="17"/>
  <c r="T7" i="17"/>
  <c r="AA6" i="17"/>
  <c r="Z6" i="17"/>
  <c r="Y6" i="17"/>
  <c r="X6" i="17"/>
  <c r="W6" i="17"/>
  <c r="V6" i="17"/>
  <c r="U6" i="17"/>
  <c r="T6" i="17"/>
  <c r="AA5" i="17"/>
  <c r="Z5" i="17"/>
  <c r="Y5" i="17"/>
  <c r="X5" i="17"/>
  <c r="W5" i="17"/>
  <c r="V5" i="17"/>
  <c r="U5" i="17"/>
  <c r="T5" i="17"/>
  <c r="AA4" i="17"/>
  <c r="Z4" i="17"/>
  <c r="Y4" i="17"/>
  <c r="X4" i="17"/>
  <c r="W4" i="17"/>
  <c r="V4" i="17"/>
  <c r="U4" i="17"/>
  <c r="T4" i="17"/>
  <c r="AC20" i="62"/>
  <c r="AC19" i="62"/>
  <c r="AC18" i="62"/>
  <c r="AC17" i="62"/>
  <c r="AC16" i="62"/>
  <c r="AC15" i="62"/>
  <c r="AC14" i="62"/>
  <c r="AC13" i="62"/>
  <c r="AA8" i="62"/>
  <c r="Z8" i="62"/>
  <c r="Y8" i="62"/>
  <c r="X8" i="62"/>
  <c r="W8" i="62"/>
  <c r="V8" i="62"/>
  <c r="U8" i="62"/>
  <c r="T8" i="62"/>
  <c r="AA7" i="62"/>
  <c r="Z7" i="62"/>
  <c r="Y7" i="62"/>
  <c r="X7" i="62"/>
  <c r="W7" i="62"/>
  <c r="V7" i="62"/>
  <c r="U7" i="62"/>
  <c r="T7" i="62"/>
  <c r="AA6" i="62"/>
  <c r="Z6" i="62"/>
  <c r="Y6" i="62"/>
  <c r="X6" i="62"/>
  <c r="W6" i="62"/>
  <c r="V6" i="62"/>
  <c r="U6" i="62"/>
  <c r="T6" i="62"/>
  <c r="AA5" i="62"/>
  <c r="Z5" i="62"/>
  <c r="Y5" i="62"/>
  <c r="X5" i="62"/>
  <c r="W5" i="62"/>
  <c r="V5" i="62"/>
  <c r="U5" i="62"/>
  <c r="T5" i="62"/>
  <c r="AA4" i="62"/>
  <c r="Z4" i="62"/>
  <c r="Y4" i="62"/>
  <c r="X4" i="62"/>
  <c r="W4" i="62"/>
  <c r="V4" i="62"/>
  <c r="U4" i="62"/>
  <c r="T4" i="62"/>
  <c r="AA3" i="62"/>
  <c r="Z3" i="62"/>
  <c r="Y3" i="62"/>
  <c r="X3" i="62"/>
  <c r="W3" i="62"/>
  <c r="V3" i="62"/>
  <c r="U3" i="62"/>
  <c r="T3" i="62"/>
  <c r="AC20" i="38"/>
  <c r="AC19" i="38"/>
  <c r="AC18" i="38"/>
  <c r="AC17" i="38"/>
  <c r="AC16" i="38"/>
  <c r="AC15" i="38"/>
  <c r="AC14" i="38"/>
  <c r="AC13" i="38"/>
  <c r="AA8" i="38"/>
  <c r="Z8" i="38"/>
  <c r="Y8" i="38"/>
  <c r="X8" i="38"/>
  <c r="W8" i="38"/>
  <c r="V8" i="38"/>
  <c r="U8" i="38"/>
  <c r="T8" i="38"/>
  <c r="AA7" i="38"/>
  <c r="Z7" i="38"/>
  <c r="Y7" i="38"/>
  <c r="X7" i="38"/>
  <c r="W7" i="38"/>
  <c r="V7" i="38"/>
  <c r="U7" i="38"/>
  <c r="T7" i="38"/>
  <c r="AA6" i="38"/>
  <c r="Z6" i="38"/>
  <c r="Y6" i="38"/>
  <c r="X6" i="38"/>
  <c r="W6" i="38"/>
  <c r="V6" i="38"/>
  <c r="U6" i="38"/>
  <c r="T6" i="38"/>
  <c r="AA5" i="38"/>
  <c r="Z5" i="38"/>
  <c r="Y5" i="38"/>
  <c r="X5" i="38"/>
  <c r="W5" i="38"/>
  <c r="V5" i="38"/>
  <c r="U5" i="38"/>
  <c r="T5" i="38"/>
  <c r="AA4" i="38"/>
  <c r="Z4" i="38"/>
  <c r="Y4" i="38"/>
  <c r="X4" i="38"/>
  <c r="W4" i="38"/>
  <c r="V4" i="38"/>
  <c r="U4" i="38"/>
  <c r="T4" i="38"/>
  <c r="AA3" i="38"/>
  <c r="Z3" i="38"/>
  <c r="Y3" i="38"/>
  <c r="X3" i="38"/>
  <c r="W3" i="38"/>
  <c r="V3" i="38"/>
  <c r="U3" i="38"/>
  <c r="T3" i="38"/>
  <c r="AA8" i="29"/>
  <c r="Z8" i="29"/>
  <c r="Y8" i="29"/>
  <c r="X8" i="29"/>
  <c r="W8" i="29"/>
  <c r="V8" i="29"/>
  <c r="U8" i="29"/>
  <c r="T8" i="29"/>
  <c r="AA7" i="29"/>
  <c r="Z7" i="29"/>
  <c r="Y7" i="29"/>
  <c r="X7" i="29"/>
  <c r="W7" i="29"/>
  <c r="V7" i="29"/>
  <c r="U7" i="29"/>
  <c r="T7" i="29"/>
  <c r="AA6" i="29"/>
  <c r="Z6" i="29"/>
  <c r="Y6" i="29"/>
  <c r="X6" i="29"/>
  <c r="W6" i="29"/>
  <c r="V6" i="29"/>
  <c r="U6" i="29"/>
  <c r="T6" i="29"/>
  <c r="AA5" i="29"/>
  <c r="Z5" i="29"/>
  <c r="Y5" i="29"/>
  <c r="X5" i="29"/>
  <c r="W5" i="29"/>
  <c r="V5" i="29"/>
  <c r="U5" i="29"/>
  <c r="T5" i="29"/>
  <c r="AA4" i="29"/>
  <c r="Z4" i="29"/>
  <c r="Y4" i="29"/>
  <c r="X4" i="29"/>
  <c r="W4" i="29"/>
  <c r="V4" i="29"/>
  <c r="U4" i="29"/>
  <c r="T4" i="29"/>
  <c r="AA3" i="29"/>
  <c r="Z3" i="29"/>
  <c r="Y3" i="29"/>
  <c r="X3" i="29"/>
  <c r="W3" i="29"/>
  <c r="V3" i="29"/>
  <c r="U3" i="29"/>
  <c r="T3" i="29"/>
  <c r="AC20" i="29"/>
  <c r="AC19" i="29"/>
  <c r="AC18" i="29"/>
  <c r="AC17" i="29"/>
  <c r="AC16" i="29"/>
  <c r="AC15" i="29"/>
  <c r="AC14" i="29"/>
  <c r="AC13" i="29"/>
  <c r="AC20" i="20" l="1"/>
  <c r="AC19" i="20"/>
  <c r="AC18" i="20"/>
  <c r="AC17" i="20"/>
  <c r="AC16" i="20"/>
  <c r="AC15" i="20"/>
  <c r="AC14" i="20"/>
  <c r="AC13" i="20"/>
  <c r="AC20" i="18"/>
  <c r="AC19" i="18"/>
  <c r="AC18" i="18"/>
  <c r="AC17" i="18"/>
  <c r="AC16" i="18"/>
  <c r="AC15" i="18"/>
  <c r="AC14" i="18"/>
  <c r="AC13" i="18"/>
  <c r="AA8" i="18"/>
  <c r="Z8" i="18"/>
  <c r="Y8" i="18"/>
  <c r="X8" i="18"/>
  <c r="W8" i="18"/>
  <c r="V8" i="18"/>
  <c r="U8" i="18"/>
  <c r="T8" i="18"/>
  <c r="AA7" i="18"/>
  <c r="Z7" i="18"/>
  <c r="Y7" i="18"/>
  <c r="X7" i="18"/>
  <c r="W7" i="18"/>
  <c r="V7" i="18"/>
  <c r="U7" i="18"/>
  <c r="T7" i="18"/>
  <c r="AA6" i="18"/>
  <c r="Z6" i="18"/>
  <c r="Y6" i="18"/>
  <c r="X6" i="18"/>
  <c r="W6" i="18"/>
  <c r="V6" i="18"/>
  <c r="U6" i="18"/>
  <c r="T6" i="18"/>
  <c r="AA5" i="18"/>
  <c r="Z5" i="18"/>
  <c r="Y5" i="18"/>
  <c r="X5" i="18"/>
  <c r="W5" i="18"/>
  <c r="V5" i="18"/>
  <c r="U5" i="18"/>
  <c r="T5" i="18"/>
  <c r="AA4" i="18"/>
  <c r="Z4" i="18"/>
  <c r="Y4" i="18"/>
  <c r="X4" i="18"/>
  <c r="W4" i="18"/>
  <c r="V4" i="18"/>
  <c r="U4" i="18"/>
  <c r="T4" i="18"/>
  <c r="AA3" i="18"/>
  <c r="Z3" i="18"/>
  <c r="Y3" i="18"/>
  <c r="X3" i="18"/>
  <c r="W3" i="18"/>
  <c r="V3" i="18"/>
  <c r="U3" i="18"/>
  <c r="T3" i="18"/>
  <c r="AA8" i="20"/>
  <c r="Z8" i="20"/>
  <c r="Y8" i="20"/>
  <c r="X8" i="20"/>
  <c r="W8" i="20"/>
  <c r="V8" i="20"/>
  <c r="U8" i="20"/>
  <c r="T8" i="20"/>
  <c r="AA7" i="20"/>
  <c r="Z7" i="20"/>
  <c r="Y7" i="20"/>
  <c r="X7" i="20"/>
  <c r="W7" i="20"/>
  <c r="V7" i="20"/>
  <c r="U7" i="20"/>
  <c r="T7" i="20"/>
  <c r="AA6" i="20"/>
  <c r="Z6" i="20"/>
  <c r="Y6" i="20"/>
  <c r="X6" i="20"/>
  <c r="W6" i="20"/>
  <c r="V6" i="20"/>
  <c r="U6" i="20"/>
  <c r="T6" i="20"/>
  <c r="AA5" i="20"/>
  <c r="Z5" i="20"/>
  <c r="Y5" i="20"/>
  <c r="X5" i="20"/>
  <c r="W5" i="20"/>
  <c r="V5" i="20"/>
  <c r="U5" i="20"/>
  <c r="T5" i="20"/>
  <c r="AA4" i="20"/>
  <c r="Z4" i="20"/>
  <c r="Y4" i="20"/>
  <c r="X4" i="20"/>
  <c r="W4" i="20"/>
  <c r="V4" i="20"/>
  <c r="U4" i="20"/>
  <c r="T4" i="20"/>
  <c r="AA3" i="20"/>
  <c r="Z3" i="20"/>
  <c r="Y3" i="20"/>
  <c r="X3" i="20"/>
  <c r="W3" i="20"/>
  <c r="V3" i="20"/>
  <c r="U3" i="20"/>
  <c r="T3" i="20"/>
  <c r="AC20" i="19"/>
  <c r="AC19" i="19"/>
  <c r="AC18" i="19"/>
  <c r="AC17" i="19"/>
  <c r="AC16" i="19"/>
  <c r="AC15" i="19"/>
  <c r="AC14" i="19"/>
  <c r="AC13" i="19"/>
  <c r="AA8" i="19"/>
  <c r="Z8" i="19"/>
  <c r="Y8" i="19"/>
  <c r="X8" i="19"/>
  <c r="W8" i="19"/>
  <c r="V8" i="19"/>
  <c r="U8" i="19"/>
  <c r="T8" i="19"/>
  <c r="AA7" i="19"/>
  <c r="Z7" i="19"/>
  <c r="Y7" i="19"/>
  <c r="X7" i="19"/>
  <c r="W7" i="19"/>
  <c r="V7" i="19"/>
  <c r="U7" i="19"/>
  <c r="T7" i="19"/>
  <c r="AA6" i="19"/>
  <c r="Z6" i="19"/>
  <c r="Y6" i="19"/>
  <c r="X6" i="19"/>
  <c r="W6" i="19"/>
  <c r="V6" i="19"/>
  <c r="U6" i="19"/>
  <c r="T6" i="19"/>
  <c r="AA5" i="19"/>
  <c r="Z5" i="19"/>
  <c r="Y5" i="19"/>
  <c r="X5" i="19"/>
  <c r="W5" i="19"/>
  <c r="V5" i="19"/>
  <c r="U5" i="19"/>
  <c r="T5" i="19"/>
  <c r="AA4" i="19"/>
  <c r="Z4" i="19"/>
  <c r="Y4" i="19"/>
  <c r="X4" i="19"/>
  <c r="W4" i="19"/>
  <c r="V4" i="19"/>
  <c r="U4" i="19"/>
  <c r="T4" i="19"/>
  <c r="AA3" i="19"/>
  <c r="Z3" i="19"/>
  <c r="Y3" i="19"/>
  <c r="X3" i="19"/>
  <c r="W3" i="19"/>
  <c r="V3" i="19"/>
  <c r="U3" i="19"/>
  <c r="T3" i="19"/>
  <c r="AC20" i="59" l="1"/>
  <c r="AC19" i="59"/>
  <c r="AC18" i="59"/>
  <c r="AC17" i="59"/>
  <c r="AC16" i="59"/>
  <c r="AC15" i="59"/>
  <c r="AC14" i="59"/>
  <c r="AC13" i="59"/>
  <c r="AC20" i="36"/>
  <c r="AC19" i="36"/>
  <c r="AC18" i="36"/>
  <c r="AC17" i="36"/>
  <c r="AC16" i="36"/>
  <c r="AC15" i="36"/>
  <c r="AC14" i="36"/>
  <c r="AC13" i="36"/>
  <c r="AC20" i="33"/>
  <c r="AC19" i="33"/>
  <c r="AC18" i="33"/>
  <c r="AC17" i="33"/>
  <c r="AC16" i="33"/>
  <c r="AC15" i="33"/>
  <c r="AC14" i="33"/>
  <c r="AC13" i="33"/>
  <c r="AC20" i="5"/>
  <c r="AC19" i="5"/>
  <c r="AC18" i="5"/>
  <c r="AC17" i="5"/>
  <c r="AC16" i="5"/>
  <c r="AC15" i="5"/>
  <c r="AC14" i="5"/>
  <c r="AC13" i="5"/>
  <c r="AC20" i="15"/>
  <c r="AC19" i="15"/>
  <c r="AC18" i="15"/>
  <c r="AC17" i="15"/>
  <c r="AC16" i="15"/>
  <c r="AC15" i="15"/>
  <c r="AC14" i="15"/>
  <c r="AC13" i="15"/>
  <c r="AC20" i="14"/>
  <c r="AC19" i="14"/>
  <c r="AC18" i="14"/>
  <c r="AC17" i="14"/>
  <c r="AC16" i="14"/>
  <c r="AC15" i="14"/>
  <c r="AC14" i="14"/>
  <c r="AC13" i="14"/>
  <c r="AC20" i="13"/>
  <c r="AC19" i="13"/>
  <c r="AC18" i="13"/>
  <c r="AC17" i="13"/>
  <c r="AC16" i="13"/>
  <c r="AC15" i="13"/>
  <c r="AC14" i="13"/>
  <c r="AC13" i="13"/>
  <c r="AC20" i="12"/>
  <c r="AC19" i="12"/>
  <c r="AC18" i="12"/>
  <c r="AC17" i="12"/>
  <c r="AC16" i="12"/>
  <c r="AC15" i="12"/>
  <c r="AC14" i="12"/>
  <c r="AC13" i="12"/>
  <c r="AC20" i="11"/>
  <c r="AC19" i="11"/>
  <c r="AC18" i="11"/>
  <c r="AC17" i="11"/>
  <c r="AC16" i="11"/>
  <c r="AC15" i="11"/>
  <c r="AC14" i="11"/>
  <c r="AC13" i="11"/>
  <c r="AC20" i="10"/>
  <c r="AC19" i="10"/>
  <c r="AC18" i="10"/>
  <c r="AC17" i="10"/>
  <c r="AC16" i="10"/>
  <c r="AC15" i="10"/>
  <c r="AC14" i="10"/>
  <c r="AC13" i="10"/>
  <c r="AC20" i="9"/>
  <c r="AC19" i="9"/>
  <c r="AC18" i="9"/>
  <c r="AC17" i="9"/>
  <c r="AC16" i="9"/>
  <c r="AC15" i="9"/>
  <c r="AC14" i="9"/>
  <c r="AC13" i="9"/>
  <c r="AC20" i="8"/>
  <c r="AC19" i="8"/>
  <c r="AC18" i="8"/>
  <c r="AC17" i="8"/>
  <c r="AC16" i="8"/>
  <c r="AC15" i="8"/>
  <c r="AC14" i="8"/>
  <c r="AC13" i="8"/>
  <c r="AC20" i="7"/>
  <c r="AC19" i="7"/>
  <c r="AC18" i="7"/>
  <c r="AC17" i="7"/>
  <c r="AC16" i="7"/>
  <c r="AC15" i="7"/>
  <c r="AC14" i="7"/>
  <c r="AC13" i="7"/>
  <c r="AC14" i="6"/>
  <c r="AC15" i="6"/>
  <c r="AC16" i="6"/>
  <c r="AC17" i="6"/>
  <c r="AC18" i="6"/>
  <c r="AC19" i="6"/>
  <c r="AC20" i="6"/>
  <c r="AC13" i="6"/>
  <c r="AA8" i="36"/>
  <c r="Z8" i="36"/>
  <c r="Y8" i="36"/>
  <c r="X8" i="36"/>
  <c r="W8" i="36"/>
  <c r="V8" i="36"/>
  <c r="U8" i="36"/>
  <c r="T8" i="36"/>
  <c r="AA7" i="36"/>
  <c r="Z7" i="36"/>
  <c r="Y7" i="36"/>
  <c r="X7" i="36"/>
  <c r="W7" i="36"/>
  <c r="V7" i="36"/>
  <c r="U7" i="36"/>
  <c r="T7" i="36"/>
  <c r="AA6" i="36"/>
  <c r="Z6" i="36"/>
  <c r="Y6" i="36"/>
  <c r="X6" i="36"/>
  <c r="W6" i="36"/>
  <c r="V6" i="36"/>
  <c r="U6" i="36"/>
  <c r="T6" i="36"/>
  <c r="AA5" i="36"/>
  <c r="Z5" i="36"/>
  <c r="Y5" i="36"/>
  <c r="X5" i="36"/>
  <c r="W5" i="36"/>
  <c r="V5" i="36"/>
  <c r="U5" i="36"/>
  <c r="T5" i="36"/>
  <c r="AA4" i="36"/>
  <c r="Z4" i="36"/>
  <c r="Y4" i="36"/>
  <c r="X4" i="36"/>
  <c r="W4" i="36"/>
  <c r="V4" i="36"/>
  <c r="U4" i="36"/>
  <c r="T4" i="36"/>
  <c r="AA3" i="36"/>
  <c r="Z3" i="36"/>
  <c r="Y3" i="36"/>
  <c r="X3" i="36"/>
  <c r="W3" i="36"/>
  <c r="V3" i="36"/>
  <c r="U3" i="36"/>
  <c r="T3" i="36"/>
  <c r="AA8" i="59"/>
  <c r="Z8" i="59"/>
  <c r="Y8" i="59"/>
  <c r="X8" i="59"/>
  <c r="W8" i="59"/>
  <c r="V8" i="59"/>
  <c r="U8" i="59"/>
  <c r="T8" i="59"/>
  <c r="AA7" i="59"/>
  <c r="Z7" i="59"/>
  <c r="Y7" i="59"/>
  <c r="X7" i="59"/>
  <c r="W7" i="59"/>
  <c r="V7" i="59"/>
  <c r="U7" i="59"/>
  <c r="T7" i="59"/>
  <c r="AA6" i="59"/>
  <c r="Z6" i="59"/>
  <c r="Y6" i="59"/>
  <c r="X6" i="59"/>
  <c r="W6" i="59"/>
  <c r="V6" i="59"/>
  <c r="U6" i="59"/>
  <c r="T6" i="59"/>
  <c r="AA5" i="59"/>
  <c r="Z5" i="59"/>
  <c r="Y5" i="59"/>
  <c r="X5" i="59"/>
  <c r="W5" i="59"/>
  <c r="V5" i="59"/>
  <c r="U5" i="59"/>
  <c r="T5" i="59"/>
  <c r="AA4" i="59"/>
  <c r="Z4" i="59"/>
  <c r="Y4" i="59"/>
  <c r="X4" i="59"/>
  <c r="W4" i="59"/>
  <c r="V4" i="59"/>
  <c r="U4" i="59"/>
  <c r="T4" i="59"/>
  <c r="AA3" i="59"/>
  <c r="Z3" i="59"/>
  <c r="Y3" i="59"/>
  <c r="X3" i="59"/>
  <c r="W3" i="59"/>
  <c r="V3" i="59"/>
  <c r="U3" i="59"/>
  <c r="T3" i="59"/>
  <c r="AA8" i="33"/>
  <c r="Z8" i="33"/>
  <c r="Y8" i="33"/>
  <c r="X8" i="33"/>
  <c r="W8" i="33"/>
  <c r="V8" i="33"/>
  <c r="U8" i="33"/>
  <c r="T8" i="33"/>
  <c r="AA7" i="33"/>
  <c r="Z7" i="33"/>
  <c r="Y7" i="33"/>
  <c r="X7" i="33"/>
  <c r="W7" i="33"/>
  <c r="V7" i="33"/>
  <c r="U7" i="33"/>
  <c r="T7" i="33"/>
  <c r="AA6" i="33"/>
  <c r="Z6" i="33"/>
  <c r="Y6" i="33"/>
  <c r="X6" i="33"/>
  <c r="W6" i="33"/>
  <c r="V6" i="33"/>
  <c r="U6" i="33"/>
  <c r="T6" i="33"/>
  <c r="AA5" i="33"/>
  <c r="Z5" i="33"/>
  <c r="Y5" i="33"/>
  <c r="X5" i="33"/>
  <c r="W5" i="33"/>
  <c r="V5" i="33"/>
  <c r="U5" i="33"/>
  <c r="T5" i="33"/>
  <c r="AA4" i="33"/>
  <c r="Z4" i="33"/>
  <c r="Y4" i="33"/>
  <c r="X4" i="33"/>
  <c r="W4" i="33"/>
  <c r="V4" i="33"/>
  <c r="U4" i="33"/>
  <c r="T4" i="33"/>
  <c r="AA3" i="33"/>
  <c r="Z3" i="33"/>
  <c r="Y3" i="33"/>
  <c r="X3" i="33"/>
  <c r="W3" i="33"/>
  <c r="V3" i="33"/>
  <c r="U3" i="33"/>
  <c r="T3" i="33"/>
  <c r="T8" i="6" l="1"/>
  <c r="T7" i="6"/>
  <c r="T6" i="6"/>
  <c r="T5" i="6"/>
  <c r="T4" i="6"/>
  <c r="T3" i="6"/>
  <c r="U5" i="6"/>
  <c r="AA4" i="6"/>
  <c r="Z4" i="6"/>
  <c r="Y4" i="6"/>
  <c r="X4" i="6"/>
  <c r="W4" i="6"/>
  <c r="V4" i="6"/>
  <c r="U4" i="6"/>
  <c r="AA3" i="6"/>
  <c r="Z3" i="6"/>
  <c r="Y3" i="6"/>
  <c r="X3" i="6"/>
  <c r="W3" i="6"/>
  <c r="V3" i="6"/>
  <c r="U3" i="6"/>
  <c r="AA8" i="5" l="1"/>
  <c r="Z8" i="5"/>
  <c r="Y8" i="5"/>
  <c r="X8" i="5"/>
  <c r="W8" i="5"/>
  <c r="V8" i="5"/>
  <c r="U8" i="5"/>
  <c r="T8" i="5"/>
  <c r="AA7" i="5"/>
  <c r="Z7" i="5"/>
  <c r="Y7" i="5"/>
  <c r="X7" i="5"/>
  <c r="W7" i="5"/>
  <c r="V7" i="5"/>
  <c r="U7" i="5"/>
  <c r="T7" i="5"/>
  <c r="AA6" i="5"/>
  <c r="Z6" i="5"/>
  <c r="Y6" i="5"/>
  <c r="X6" i="5"/>
  <c r="W6" i="5"/>
  <c r="V6" i="5"/>
  <c r="U6" i="5"/>
  <c r="T6" i="5"/>
  <c r="AA5" i="5"/>
  <c r="Z5" i="5"/>
  <c r="Y5" i="5"/>
  <c r="X5" i="5"/>
  <c r="W5" i="5"/>
  <c r="V5" i="5"/>
  <c r="U5" i="5"/>
  <c r="T5" i="5"/>
  <c r="AA4" i="5"/>
  <c r="Z4" i="5"/>
  <c r="Y4" i="5"/>
  <c r="X4" i="5"/>
  <c r="W4" i="5"/>
  <c r="V4" i="5"/>
  <c r="U4" i="5"/>
  <c r="T4" i="5"/>
  <c r="AA3" i="5"/>
  <c r="Z3" i="5"/>
  <c r="Y3" i="5"/>
  <c r="X3" i="5"/>
  <c r="W3" i="5"/>
  <c r="V3" i="5"/>
  <c r="U3" i="5"/>
  <c r="T3" i="5"/>
  <c r="AA8" i="15" l="1"/>
  <c r="Z8" i="15"/>
  <c r="Y8" i="15"/>
  <c r="X8" i="15"/>
  <c r="W8" i="15"/>
  <c r="V8" i="15"/>
  <c r="U8" i="15"/>
  <c r="T8" i="15"/>
  <c r="AA7" i="15"/>
  <c r="Z7" i="15"/>
  <c r="Y7" i="15"/>
  <c r="X7" i="15"/>
  <c r="W7" i="15"/>
  <c r="V7" i="15"/>
  <c r="U7" i="15"/>
  <c r="T7" i="15"/>
  <c r="AA6" i="15"/>
  <c r="Z6" i="15"/>
  <c r="Y6" i="15"/>
  <c r="X6" i="15"/>
  <c r="W6" i="15"/>
  <c r="V6" i="15"/>
  <c r="U6" i="15"/>
  <c r="T6" i="15"/>
  <c r="AA5" i="15"/>
  <c r="Z5" i="15"/>
  <c r="Y5" i="15"/>
  <c r="X5" i="15"/>
  <c r="W5" i="15"/>
  <c r="V5" i="15"/>
  <c r="U5" i="15"/>
  <c r="T5" i="15"/>
  <c r="AA4" i="15"/>
  <c r="Z4" i="15"/>
  <c r="Y4" i="15"/>
  <c r="X4" i="15"/>
  <c r="W4" i="15"/>
  <c r="V4" i="15"/>
  <c r="U4" i="15"/>
  <c r="T4" i="15"/>
  <c r="AA3" i="15"/>
  <c r="Z3" i="15"/>
  <c r="Y3" i="15"/>
  <c r="X3" i="15"/>
  <c r="W3" i="15"/>
  <c r="V3" i="15"/>
  <c r="U3" i="15"/>
  <c r="T3" i="15"/>
  <c r="AA8" i="14"/>
  <c r="Z8" i="14"/>
  <c r="Y8" i="14"/>
  <c r="X8" i="14"/>
  <c r="W8" i="14"/>
  <c r="V8" i="14"/>
  <c r="U8" i="14"/>
  <c r="T8" i="14"/>
  <c r="AA7" i="14"/>
  <c r="Z7" i="14"/>
  <c r="Y7" i="14"/>
  <c r="X7" i="14"/>
  <c r="W7" i="14"/>
  <c r="V7" i="14"/>
  <c r="U7" i="14"/>
  <c r="T7" i="14"/>
  <c r="AA6" i="14"/>
  <c r="Z6" i="14"/>
  <c r="Y6" i="14"/>
  <c r="X6" i="14"/>
  <c r="W6" i="14"/>
  <c r="V6" i="14"/>
  <c r="U6" i="14"/>
  <c r="T6" i="14"/>
  <c r="AA5" i="14"/>
  <c r="Z5" i="14"/>
  <c r="Y5" i="14"/>
  <c r="X5" i="14"/>
  <c r="W5" i="14"/>
  <c r="V5" i="14"/>
  <c r="U5" i="14"/>
  <c r="T5" i="14"/>
  <c r="AA4" i="14"/>
  <c r="Z4" i="14"/>
  <c r="Y4" i="14"/>
  <c r="X4" i="14"/>
  <c r="W4" i="14"/>
  <c r="V4" i="14"/>
  <c r="U4" i="14"/>
  <c r="T4" i="14"/>
  <c r="AA3" i="14"/>
  <c r="Z3" i="14"/>
  <c r="Y3" i="14"/>
  <c r="X3" i="14"/>
  <c r="W3" i="14"/>
  <c r="V3" i="14"/>
  <c r="U3" i="14"/>
  <c r="T3" i="14"/>
  <c r="AA8" i="13"/>
  <c r="Z8" i="13"/>
  <c r="Y8" i="13"/>
  <c r="X8" i="13"/>
  <c r="W8" i="13"/>
  <c r="V8" i="13"/>
  <c r="U8" i="13"/>
  <c r="T8" i="13"/>
  <c r="AA7" i="13"/>
  <c r="Z7" i="13"/>
  <c r="Y7" i="13"/>
  <c r="X7" i="13"/>
  <c r="W7" i="13"/>
  <c r="V7" i="13"/>
  <c r="U7" i="13"/>
  <c r="T7" i="13"/>
  <c r="AA6" i="13"/>
  <c r="Z6" i="13"/>
  <c r="Y6" i="13"/>
  <c r="X6" i="13"/>
  <c r="W6" i="13"/>
  <c r="V6" i="13"/>
  <c r="U6" i="13"/>
  <c r="T6" i="13"/>
  <c r="AA5" i="13"/>
  <c r="Z5" i="13"/>
  <c r="Y5" i="13"/>
  <c r="X5" i="13"/>
  <c r="W5" i="13"/>
  <c r="V5" i="13"/>
  <c r="U5" i="13"/>
  <c r="T5" i="13"/>
  <c r="AA4" i="13"/>
  <c r="Z4" i="13"/>
  <c r="Y4" i="13"/>
  <c r="X4" i="13"/>
  <c r="W4" i="13"/>
  <c r="V4" i="13"/>
  <c r="U4" i="13"/>
  <c r="T4" i="13"/>
  <c r="AA3" i="13"/>
  <c r="Z3" i="13"/>
  <c r="Y3" i="13"/>
  <c r="X3" i="13"/>
  <c r="W3" i="13"/>
  <c r="V3" i="13"/>
  <c r="U3" i="13"/>
  <c r="T3" i="13"/>
  <c r="AA8" i="12"/>
  <c r="Z8" i="12"/>
  <c r="Y8" i="12"/>
  <c r="X8" i="12"/>
  <c r="W8" i="12"/>
  <c r="V8" i="12"/>
  <c r="U8" i="12"/>
  <c r="T8" i="12"/>
  <c r="AA7" i="12"/>
  <c r="Z7" i="12"/>
  <c r="Y7" i="12"/>
  <c r="X7" i="12"/>
  <c r="W7" i="12"/>
  <c r="V7" i="12"/>
  <c r="U7" i="12"/>
  <c r="T7" i="12"/>
  <c r="AA6" i="12"/>
  <c r="Z6" i="12"/>
  <c r="Y6" i="12"/>
  <c r="X6" i="12"/>
  <c r="W6" i="12"/>
  <c r="V6" i="12"/>
  <c r="U6" i="12"/>
  <c r="T6" i="12"/>
  <c r="AA5" i="12"/>
  <c r="Z5" i="12"/>
  <c r="Y5" i="12"/>
  <c r="X5" i="12"/>
  <c r="W5" i="12"/>
  <c r="V5" i="12"/>
  <c r="U5" i="12"/>
  <c r="T5" i="12"/>
  <c r="AA4" i="12"/>
  <c r="Z4" i="12"/>
  <c r="Y4" i="12"/>
  <c r="X4" i="12"/>
  <c r="W4" i="12"/>
  <c r="V4" i="12"/>
  <c r="U4" i="12"/>
  <c r="T4" i="12"/>
  <c r="AA3" i="12"/>
  <c r="Z3" i="12"/>
  <c r="Y3" i="12"/>
  <c r="X3" i="12"/>
  <c r="W3" i="12"/>
  <c r="V3" i="12"/>
  <c r="U3" i="12"/>
  <c r="T3" i="12"/>
  <c r="AA8" i="11"/>
  <c r="Z8" i="11"/>
  <c r="Y8" i="11"/>
  <c r="X8" i="11"/>
  <c r="W8" i="11"/>
  <c r="V8" i="11"/>
  <c r="U8" i="11"/>
  <c r="T8" i="11"/>
  <c r="AA7" i="11"/>
  <c r="Z7" i="11"/>
  <c r="Y7" i="11"/>
  <c r="X7" i="11"/>
  <c r="W7" i="11"/>
  <c r="V7" i="11"/>
  <c r="U7" i="11"/>
  <c r="T7" i="11"/>
  <c r="AA6" i="11"/>
  <c r="Z6" i="11"/>
  <c r="Y6" i="11"/>
  <c r="X6" i="11"/>
  <c r="W6" i="11"/>
  <c r="V6" i="11"/>
  <c r="U6" i="11"/>
  <c r="T6" i="11"/>
  <c r="AA5" i="11"/>
  <c r="Z5" i="11"/>
  <c r="Y5" i="11"/>
  <c r="X5" i="11"/>
  <c r="W5" i="11"/>
  <c r="V5" i="11"/>
  <c r="U5" i="11"/>
  <c r="T5" i="11"/>
  <c r="AA4" i="11"/>
  <c r="Z4" i="11"/>
  <c r="Y4" i="11"/>
  <c r="X4" i="11"/>
  <c r="W4" i="11"/>
  <c r="V4" i="11"/>
  <c r="U4" i="11"/>
  <c r="T4" i="11"/>
  <c r="AA3" i="11"/>
  <c r="Z3" i="11"/>
  <c r="Y3" i="11"/>
  <c r="X3" i="11"/>
  <c r="W3" i="11"/>
  <c r="V3" i="11"/>
  <c r="U3" i="11"/>
  <c r="T3" i="11"/>
  <c r="AA8" i="10"/>
  <c r="Z8" i="10"/>
  <c r="Y8" i="10"/>
  <c r="X8" i="10"/>
  <c r="W8" i="10"/>
  <c r="V8" i="10"/>
  <c r="U8" i="10"/>
  <c r="T8" i="10"/>
  <c r="AA7" i="10"/>
  <c r="Z7" i="10"/>
  <c r="Y7" i="10"/>
  <c r="X7" i="10"/>
  <c r="W7" i="10"/>
  <c r="V7" i="10"/>
  <c r="U7" i="10"/>
  <c r="T7" i="10"/>
  <c r="AA6" i="10"/>
  <c r="Z6" i="10"/>
  <c r="Y6" i="10"/>
  <c r="X6" i="10"/>
  <c r="W6" i="10"/>
  <c r="V6" i="10"/>
  <c r="U6" i="10"/>
  <c r="T6" i="10"/>
  <c r="AA5" i="10"/>
  <c r="Z5" i="10"/>
  <c r="Y5" i="10"/>
  <c r="X5" i="10"/>
  <c r="W5" i="10"/>
  <c r="V5" i="10"/>
  <c r="U5" i="10"/>
  <c r="T5" i="10"/>
  <c r="AA4" i="10"/>
  <c r="Z4" i="10"/>
  <c r="Y4" i="10"/>
  <c r="X4" i="10"/>
  <c r="W4" i="10"/>
  <c r="V4" i="10"/>
  <c r="U4" i="10"/>
  <c r="T4" i="10"/>
  <c r="AA3" i="10"/>
  <c r="Z3" i="10"/>
  <c r="Y3" i="10"/>
  <c r="X3" i="10"/>
  <c r="W3" i="10"/>
  <c r="V3" i="10"/>
  <c r="U3" i="10"/>
  <c r="T3" i="10"/>
  <c r="AA8" i="9"/>
  <c r="Z8" i="9"/>
  <c r="Y8" i="9"/>
  <c r="X8" i="9"/>
  <c r="W8" i="9"/>
  <c r="V8" i="9"/>
  <c r="U8" i="9"/>
  <c r="T8" i="9"/>
  <c r="AA7" i="9"/>
  <c r="Z7" i="9"/>
  <c r="Y7" i="9"/>
  <c r="X7" i="9"/>
  <c r="W7" i="9"/>
  <c r="V7" i="9"/>
  <c r="U7" i="9"/>
  <c r="T7" i="9"/>
  <c r="AA6" i="9"/>
  <c r="Z6" i="9"/>
  <c r="Y6" i="9"/>
  <c r="X6" i="9"/>
  <c r="W6" i="9"/>
  <c r="V6" i="9"/>
  <c r="U6" i="9"/>
  <c r="T6" i="9"/>
  <c r="AA5" i="9"/>
  <c r="Z5" i="9"/>
  <c r="Y5" i="9"/>
  <c r="X5" i="9"/>
  <c r="W5" i="9"/>
  <c r="V5" i="9"/>
  <c r="U5" i="9"/>
  <c r="T5" i="9"/>
  <c r="AA4" i="9"/>
  <c r="Z4" i="9"/>
  <c r="Y4" i="9"/>
  <c r="X4" i="9"/>
  <c r="W4" i="9"/>
  <c r="V4" i="9"/>
  <c r="U4" i="9"/>
  <c r="T4" i="9"/>
  <c r="AA3" i="9"/>
  <c r="Z3" i="9"/>
  <c r="Y3" i="9"/>
  <c r="X3" i="9"/>
  <c r="W3" i="9"/>
  <c r="V3" i="9"/>
  <c r="U3" i="9"/>
  <c r="T3" i="9"/>
  <c r="AA8" i="8"/>
  <c r="Z8" i="8"/>
  <c r="Y8" i="8"/>
  <c r="X8" i="8"/>
  <c r="W8" i="8"/>
  <c r="V8" i="8"/>
  <c r="U8" i="8"/>
  <c r="T8" i="8"/>
  <c r="AA7" i="8"/>
  <c r="Z7" i="8"/>
  <c r="Y7" i="8"/>
  <c r="X7" i="8"/>
  <c r="W7" i="8"/>
  <c r="V7" i="8"/>
  <c r="U7" i="8"/>
  <c r="T7" i="8"/>
  <c r="AA6" i="8"/>
  <c r="Z6" i="8"/>
  <c r="Y6" i="8"/>
  <c r="X6" i="8"/>
  <c r="W6" i="8"/>
  <c r="V6" i="8"/>
  <c r="U6" i="8"/>
  <c r="T6" i="8"/>
  <c r="AA5" i="8"/>
  <c r="Z5" i="8"/>
  <c r="Y5" i="8"/>
  <c r="X5" i="8"/>
  <c r="W5" i="8"/>
  <c r="V5" i="8"/>
  <c r="U5" i="8"/>
  <c r="T5" i="8"/>
  <c r="AA4" i="8"/>
  <c r="Z4" i="8"/>
  <c r="Y4" i="8"/>
  <c r="X4" i="8"/>
  <c r="W4" i="8"/>
  <c r="V4" i="8"/>
  <c r="U4" i="8"/>
  <c r="T4" i="8"/>
  <c r="AA3" i="8"/>
  <c r="Z3" i="8"/>
  <c r="Y3" i="8"/>
  <c r="X3" i="8"/>
  <c r="W3" i="8"/>
  <c r="V3" i="8"/>
  <c r="U3" i="8"/>
  <c r="T3" i="8"/>
  <c r="AA8" i="7"/>
  <c r="Z8" i="7"/>
  <c r="Y8" i="7"/>
  <c r="X8" i="7"/>
  <c r="W8" i="7"/>
  <c r="V8" i="7"/>
  <c r="U8" i="7"/>
  <c r="T8" i="7"/>
  <c r="AA7" i="7"/>
  <c r="Z7" i="7"/>
  <c r="Y7" i="7"/>
  <c r="X7" i="7"/>
  <c r="W7" i="7"/>
  <c r="V7" i="7"/>
  <c r="U7" i="7"/>
  <c r="T7" i="7"/>
  <c r="AA6" i="7"/>
  <c r="Z6" i="7"/>
  <c r="Y6" i="7"/>
  <c r="X6" i="7"/>
  <c r="W6" i="7"/>
  <c r="V6" i="7"/>
  <c r="U6" i="7"/>
  <c r="T6" i="7"/>
  <c r="AA5" i="7"/>
  <c r="Z5" i="7"/>
  <c r="Y5" i="7"/>
  <c r="X5" i="7"/>
  <c r="W5" i="7"/>
  <c r="V5" i="7"/>
  <c r="U5" i="7"/>
  <c r="T5" i="7"/>
  <c r="AA4" i="7"/>
  <c r="Z4" i="7"/>
  <c r="Y4" i="7"/>
  <c r="X4" i="7"/>
  <c r="W4" i="7"/>
  <c r="V4" i="7"/>
  <c r="U4" i="7"/>
  <c r="T4" i="7"/>
  <c r="AA3" i="7"/>
  <c r="Z3" i="7"/>
  <c r="Y3" i="7"/>
  <c r="X3" i="7"/>
  <c r="W3" i="7"/>
  <c r="V3" i="7"/>
  <c r="U3" i="7"/>
  <c r="T3" i="7"/>
  <c r="X5" i="6"/>
  <c r="Y5" i="6"/>
  <c r="X6" i="6"/>
  <c r="Y6" i="6"/>
  <c r="X7" i="6"/>
  <c r="Y7" i="6"/>
  <c r="X8" i="6"/>
  <c r="Y8" i="6"/>
  <c r="Z5" i="6"/>
  <c r="Z6" i="6"/>
  <c r="Z7" i="6"/>
  <c r="Z8" i="6"/>
  <c r="AA8" i="6"/>
  <c r="AA7" i="6"/>
  <c r="AA6" i="6"/>
  <c r="AA5" i="6"/>
  <c r="V7" i="6"/>
  <c r="V6" i="6"/>
  <c r="W5" i="6"/>
  <c r="W6" i="6"/>
  <c r="W7" i="6"/>
  <c r="W8" i="6"/>
  <c r="U6" i="6"/>
  <c r="U7" i="6"/>
  <c r="U8" i="6"/>
  <c r="V8" i="6"/>
  <c r="V5" i="6"/>
  <c r="AC20" i="66" l="1"/>
  <c r="AC19" i="66"/>
  <c r="AA19" i="66"/>
  <c r="Z19" i="66"/>
  <c r="Y19" i="66"/>
  <c r="X19" i="66"/>
  <c r="W19" i="66"/>
  <c r="V19" i="66"/>
  <c r="U19" i="66"/>
  <c r="T19" i="66"/>
  <c r="AC18" i="66"/>
  <c r="AA18" i="66"/>
  <c r="Z18" i="66"/>
  <c r="Y18" i="66"/>
  <c r="X18" i="66"/>
  <c r="W18" i="66"/>
  <c r="V18" i="66"/>
  <c r="U18" i="66"/>
  <c r="T18" i="66"/>
  <c r="AC17" i="66"/>
  <c r="AA17" i="66"/>
  <c r="Z17" i="66"/>
  <c r="Y17" i="66"/>
  <c r="X17" i="66"/>
  <c r="W17" i="66"/>
  <c r="V17" i="66"/>
  <c r="U17" i="66"/>
  <c r="T17" i="66"/>
  <c r="AC16" i="66"/>
  <c r="AA16" i="66"/>
  <c r="Z16" i="66"/>
  <c r="Y16" i="66"/>
  <c r="X16" i="66"/>
  <c r="W16" i="66"/>
  <c r="V16" i="66"/>
  <c r="U16" i="66"/>
  <c r="T16" i="66"/>
  <c r="AC15" i="66"/>
  <c r="AA15" i="66"/>
  <c r="Z15" i="66"/>
  <c r="Y15" i="66"/>
  <c r="X15" i="66"/>
  <c r="W15" i="66"/>
  <c r="V15" i="66"/>
  <c r="U15" i="66"/>
  <c r="T15" i="66"/>
  <c r="AC14" i="66"/>
  <c r="AA14" i="66"/>
  <c r="Z14" i="66"/>
  <c r="Y14" i="66"/>
  <c r="X14" i="66"/>
  <c r="W14" i="66"/>
  <c r="V14" i="66"/>
  <c r="U14" i="66"/>
  <c r="T14" i="66"/>
  <c r="AC13" i="66"/>
  <c r="AC20" i="65"/>
  <c r="AC19" i="65"/>
  <c r="AA19" i="65"/>
  <c r="Z19" i="65"/>
  <c r="Y19" i="65"/>
  <c r="X19" i="65"/>
  <c r="W19" i="65"/>
  <c r="V19" i="65"/>
  <c r="U19" i="65"/>
  <c r="T19" i="65"/>
  <c r="AC18" i="65"/>
  <c r="AA18" i="65"/>
  <c r="Z18" i="65"/>
  <c r="Y18" i="65"/>
  <c r="X18" i="65"/>
  <c r="W18" i="65"/>
  <c r="V18" i="65"/>
  <c r="U18" i="65"/>
  <c r="T18" i="65"/>
  <c r="AC17" i="65"/>
  <c r="AA17" i="65"/>
  <c r="Z17" i="65"/>
  <c r="Y17" i="65"/>
  <c r="X17" i="65"/>
  <c r="W17" i="65"/>
  <c r="V17" i="65"/>
  <c r="U17" i="65"/>
  <c r="T17" i="65"/>
  <c r="AC16" i="65"/>
  <c r="AA16" i="65"/>
  <c r="Z16" i="65"/>
  <c r="Y16" i="65"/>
  <c r="X16" i="65"/>
  <c r="W16" i="65"/>
  <c r="V16" i="65"/>
  <c r="U16" i="65"/>
  <c r="T16" i="65"/>
  <c r="AC15" i="65"/>
  <c r="AA15" i="65"/>
  <c r="Z15" i="65"/>
  <c r="Y15" i="65"/>
  <c r="X15" i="65"/>
  <c r="W15" i="65"/>
  <c r="V15" i="65"/>
  <c r="U15" i="65"/>
  <c r="T15" i="65"/>
  <c r="AC14" i="65"/>
  <c r="AA14" i="65"/>
  <c r="Z14" i="65"/>
  <c r="Y14" i="65"/>
  <c r="X14" i="65"/>
  <c r="W14" i="65"/>
  <c r="V14" i="65"/>
  <c r="U14" i="65"/>
  <c r="T14" i="65"/>
  <c r="AC13" i="65"/>
  <c r="AC20" i="64"/>
  <c r="AC19" i="64"/>
  <c r="AA19" i="64"/>
  <c r="Z19" i="64"/>
  <c r="Y19" i="64"/>
  <c r="X19" i="64"/>
  <c r="W19" i="64"/>
  <c r="V19" i="64"/>
  <c r="U19" i="64"/>
  <c r="T19" i="64"/>
  <c r="AC18" i="64"/>
  <c r="AA18" i="64"/>
  <c r="Z18" i="64"/>
  <c r="Y18" i="64"/>
  <c r="X18" i="64"/>
  <c r="W18" i="64"/>
  <c r="V18" i="64"/>
  <c r="U18" i="64"/>
  <c r="T18" i="64"/>
  <c r="AC17" i="64"/>
  <c r="AA17" i="64"/>
  <c r="Z17" i="64"/>
  <c r="Y17" i="64"/>
  <c r="X17" i="64"/>
  <c r="W17" i="64"/>
  <c r="V17" i="64"/>
  <c r="U17" i="64"/>
  <c r="T17" i="64"/>
  <c r="AC16" i="64"/>
  <c r="AA16" i="64"/>
  <c r="Z16" i="64"/>
  <c r="Y16" i="64"/>
  <c r="X16" i="64"/>
  <c r="W16" i="64"/>
  <c r="V16" i="64"/>
  <c r="U16" i="64"/>
  <c r="T16" i="64"/>
  <c r="AC15" i="64"/>
  <c r="AA15" i="64"/>
  <c r="Z15" i="64"/>
  <c r="Y15" i="64"/>
  <c r="X15" i="64"/>
  <c r="W15" i="64"/>
  <c r="V15" i="64"/>
  <c r="U15" i="64"/>
  <c r="T15" i="64"/>
  <c r="AC14" i="64"/>
  <c r="AA14" i="64"/>
  <c r="Z14" i="64"/>
  <c r="Y14" i="64"/>
  <c r="X14" i="64"/>
  <c r="W14" i="64"/>
  <c r="V14" i="64"/>
  <c r="U14" i="64"/>
  <c r="T14" i="64"/>
  <c r="AC13" i="64"/>
  <c r="AC20" i="63"/>
  <c r="AC19" i="63"/>
  <c r="AA19" i="63"/>
  <c r="Z19" i="63"/>
  <c r="Y19" i="63"/>
  <c r="X19" i="63"/>
  <c r="W19" i="63"/>
  <c r="V19" i="63"/>
  <c r="U19" i="63"/>
  <c r="T19" i="63"/>
  <c r="AC18" i="63"/>
  <c r="AA18" i="63"/>
  <c r="Z18" i="63"/>
  <c r="Y18" i="63"/>
  <c r="X18" i="63"/>
  <c r="W18" i="63"/>
  <c r="V18" i="63"/>
  <c r="U18" i="63"/>
  <c r="T18" i="63"/>
  <c r="AC17" i="63"/>
  <c r="AA17" i="63"/>
  <c r="Z17" i="63"/>
  <c r="Y17" i="63"/>
  <c r="X17" i="63"/>
  <c r="W17" i="63"/>
  <c r="V17" i="63"/>
  <c r="U17" i="63"/>
  <c r="T17" i="63"/>
  <c r="AC16" i="63"/>
  <c r="AA16" i="63"/>
  <c r="Z16" i="63"/>
  <c r="Y16" i="63"/>
  <c r="X16" i="63"/>
  <c r="W16" i="63"/>
  <c r="V16" i="63"/>
  <c r="U16" i="63"/>
  <c r="T16" i="63"/>
  <c r="AC15" i="63"/>
  <c r="AA15" i="63"/>
  <c r="Z15" i="63"/>
  <c r="Y15" i="63"/>
  <c r="X15" i="63"/>
  <c r="W15" i="63"/>
  <c r="V15" i="63"/>
  <c r="U15" i="63"/>
  <c r="T15" i="63"/>
  <c r="AC14" i="63"/>
  <c r="AA14" i="63"/>
  <c r="Z14" i="63"/>
  <c r="Y14" i="63"/>
  <c r="X14" i="63"/>
  <c r="W14" i="63"/>
  <c r="V14" i="63"/>
  <c r="U14" i="63"/>
  <c r="T14" i="63"/>
  <c r="AC13" i="63"/>
  <c r="AA19" i="62"/>
  <c r="Z19" i="62"/>
  <c r="Y19" i="62"/>
  <c r="X19" i="62"/>
  <c r="W19" i="62"/>
  <c r="V19" i="62"/>
  <c r="U19" i="62"/>
  <c r="T19" i="62"/>
  <c r="AA18" i="62"/>
  <c r="Z18" i="62"/>
  <c r="Y18" i="62"/>
  <c r="X18" i="62"/>
  <c r="W18" i="62"/>
  <c r="V18" i="62"/>
  <c r="U18" i="62"/>
  <c r="T18" i="62"/>
  <c r="AA17" i="62"/>
  <c r="Z17" i="62"/>
  <c r="Y17" i="62"/>
  <c r="X17" i="62"/>
  <c r="W17" i="62"/>
  <c r="V17" i="62"/>
  <c r="U17" i="62"/>
  <c r="T17" i="62"/>
  <c r="AA16" i="62"/>
  <c r="Z16" i="62"/>
  <c r="Y16" i="62"/>
  <c r="X16" i="62"/>
  <c r="W16" i="62"/>
  <c r="V16" i="62"/>
  <c r="U16" i="62"/>
  <c r="T16" i="62"/>
  <c r="AA15" i="62"/>
  <c r="Z15" i="62"/>
  <c r="Y15" i="62"/>
  <c r="X15" i="62"/>
  <c r="W15" i="62"/>
  <c r="V15" i="62"/>
  <c r="U15" i="62"/>
  <c r="T15" i="62"/>
  <c r="AA14" i="62"/>
  <c r="Z14" i="62"/>
  <c r="Y14" i="62"/>
  <c r="X14" i="62"/>
  <c r="W14" i="62"/>
  <c r="V14" i="62"/>
  <c r="U14" i="62"/>
  <c r="T14" i="62"/>
  <c r="AC20" i="61"/>
  <c r="AC19" i="61"/>
  <c r="AA19" i="61"/>
  <c r="Z19" i="61"/>
  <c r="Y19" i="61"/>
  <c r="X19" i="61"/>
  <c r="W19" i="61"/>
  <c r="V19" i="61"/>
  <c r="U19" i="61"/>
  <c r="T19" i="61"/>
  <c r="AC18" i="61"/>
  <c r="AA18" i="61"/>
  <c r="Z18" i="61"/>
  <c r="Y18" i="61"/>
  <c r="X18" i="61"/>
  <c r="W18" i="61"/>
  <c r="V18" i="61"/>
  <c r="U18" i="61"/>
  <c r="T18" i="61"/>
  <c r="AC17" i="61"/>
  <c r="AA17" i="61"/>
  <c r="Z17" i="61"/>
  <c r="Y17" i="61"/>
  <c r="X17" i="61"/>
  <c r="W17" i="61"/>
  <c r="V17" i="61"/>
  <c r="U17" i="61"/>
  <c r="T17" i="61"/>
  <c r="AC16" i="61"/>
  <c r="AA16" i="61"/>
  <c r="Z16" i="61"/>
  <c r="Y16" i="61"/>
  <c r="X16" i="61"/>
  <c r="W16" i="61"/>
  <c r="V16" i="61"/>
  <c r="U16" i="61"/>
  <c r="T16" i="61"/>
  <c r="AC15" i="61"/>
  <c r="AA15" i="61"/>
  <c r="Z15" i="61"/>
  <c r="Y15" i="61"/>
  <c r="X15" i="61"/>
  <c r="W15" i="61"/>
  <c r="V15" i="61"/>
  <c r="U15" i="61"/>
  <c r="T15" i="61"/>
  <c r="AC14" i="61"/>
  <c r="AA14" i="61"/>
  <c r="Z14" i="61"/>
  <c r="Y14" i="61"/>
  <c r="X14" i="61"/>
  <c r="W14" i="61"/>
  <c r="V14" i="61"/>
  <c r="U14" i="61"/>
  <c r="T14" i="61"/>
  <c r="AC13" i="61"/>
  <c r="AC20" i="60"/>
  <c r="AC19" i="60"/>
  <c r="AA19" i="60"/>
  <c r="Z19" i="60"/>
  <c r="Y19" i="60"/>
  <c r="X19" i="60"/>
  <c r="W19" i="60"/>
  <c r="V19" i="60"/>
  <c r="U19" i="60"/>
  <c r="T19" i="60"/>
  <c r="AC18" i="60"/>
  <c r="AA18" i="60"/>
  <c r="Z18" i="60"/>
  <c r="Y18" i="60"/>
  <c r="X18" i="60"/>
  <c r="W18" i="60"/>
  <c r="V18" i="60"/>
  <c r="U18" i="60"/>
  <c r="T18" i="60"/>
  <c r="AC17" i="60"/>
  <c r="AA17" i="60"/>
  <c r="Z17" i="60"/>
  <c r="Y17" i="60"/>
  <c r="X17" i="60"/>
  <c r="W17" i="60"/>
  <c r="V17" i="60"/>
  <c r="U17" i="60"/>
  <c r="T17" i="60"/>
  <c r="AC16" i="60"/>
  <c r="AA16" i="60"/>
  <c r="Z16" i="60"/>
  <c r="Y16" i="60"/>
  <c r="X16" i="60"/>
  <c r="W16" i="60"/>
  <c r="V16" i="60"/>
  <c r="U16" i="60"/>
  <c r="T16" i="60"/>
  <c r="AC15" i="60"/>
  <c r="AA15" i="60"/>
  <c r="Z15" i="60"/>
  <c r="Y15" i="60"/>
  <c r="X15" i="60"/>
  <c r="W15" i="60"/>
  <c r="V15" i="60"/>
  <c r="U15" i="60"/>
  <c r="T15" i="60"/>
  <c r="AC14" i="60"/>
  <c r="AA14" i="60"/>
  <c r="Z14" i="60"/>
  <c r="Y14" i="60"/>
  <c r="X14" i="60"/>
  <c r="W14" i="60"/>
  <c r="V14" i="60"/>
  <c r="U14" i="60"/>
  <c r="T14" i="60"/>
  <c r="AC13" i="60"/>
  <c r="AA19" i="59"/>
  <c r="Z19" i="59"/>
  <c r="Y19" i="59"/>
  <c r="X19" i="59"/>
  <c r="W19" i="59"/>
  <c r="V19" i="59"/>
  <c r="U19" i="59"/>
  <c r="T19" i="59"/>
  <c r="AA18" i="59"/>
  <c r="Z18" i="59"/>
  <c r="Y18" i="59"/>
  <c r="X18" i="59"/>
  <c r="W18" i="59"/>
  <c r="V18" i="59"/>
  <c r="U18" i="59"/>
  <c r="T18" i="59"/>
  <c r="AA17" i="59"/>
  <c r="Z17" i="59"/>
  <c r="Y17" i="59"/>
  <c r="X17" i="59"/>
  <c r="W17" i="59"/>
  <c r="V17" i="59"/>
  <c r="U17" i="59"/>
  <c r="T17" i="59"/>
  <c r="AA16" i="59"/>
  <c r="Z16" i="59"/>
  <c r="Y16" i="59"/>
  <c r="X16" i="59"/>
  <c r="W16" i="59"/>
  <c r="V16" i="59"/>
  <c r="U16" i="59"/>
  <c r="T16" i="59"/>
  <c r="AA15" i="59"/>
  <c r="Z15" i="59"/>
  <c r="Y15" i="59"/>
  <c r="X15" i="59"/>
  <c r="W15" i="59"/>
  <c r="V15" i="59"/>
  <c r="U15" i="59"/>
  <c r="T15" i="59"/>
  <c r="AA14" i="59"/>
  <c r="Z14" i="59"/>
  <c r="Y14" i="59"/>
  <c r="X14" i="59"/>
  <c r="W14" i="59"/>
  <c r="V14" i="59"/>
  <c r="U14" i="59"/>
  <c r="T14" i="59"/>
  <c r="AC20" i="58"/>
  <c r="AC19" i="58"/>
  <c r="AA19" i="58"/>
  <c r="Z19" i="58"/>
  <c r="Y19" i="58"/>
  <c r="X19" i="58"/>
  <c r="W19" i="58"/>
  <c r="V19" i="58"/>
  <c r="U19" i="58"/>
  <c r="T19" i="58"/>
  <c r="AC18" i="58"/>
  <c r="AA18" i="58"/>
  <c r="Z18" i="58"/>
  <c r="Y18" i="58"/>
  <c r="X18" i="58"/>
  <c r="W18" i="58"/>
  <c r="V18" i="58"/>
  <c r="U18" i="58"/>
  <c r="T18" i="58"/>
  <c r="AC17" i="58"/>
  <c r="AA17" i="58"/>
  <c r="Z17" i="58"/>
  <c r="Y17" i="58"/>
  <c r="X17" i="58"/>
  <c r="W17" i="58"/>
  <c r="V17" i="58"/>
  <c r="U17" i="58"/>
  <c r="T17" i="58"/>
  <c r="AC16" i="58"/>
  <c r="AA16" i="58"/>
  <c r="Z16" i="58"/>
  <c r="Y16" i="58"/>
  <c r="X16" i="58"/>
  <c r="W16" i="58"/>
  <c r="V16" i="58"/>
  <c r="U16" i="58"/>
  <c r="T16" i="58"/>
  <c r="AC15" i="58"/>
  <c r="AA15" i="58"/>
  <c r="Z15" i="58"/>
  <c r="Y15" i="58"/>
  <c r="X15" i="58"/>
  <c r="W15" i="58"/>
  <c r="V15" i="58"/>
  <c r="U15" i="58"/>
  <c r="T15" i="58"/>
  <c r="AC14" i="58"/>
  <c r="AA14" i="58"/>
  <c r="Z14" i="58"/>
  <c r="Y14" i="58"/>
  <c r="X14" i="58"/>
  <c r="W14" i="58"/>
  <c r="V14" i="58"/>
  <c r="U14" i="58"/>
  <c r="T14" i="58"/>
  <c r="AC13" i="58"/>
  <c r="AC20" i="57"/>
  <c r="AC19" i="57"/>
  <c r="AA19" i="57"/>
  <c r="Z19" i="57"/>
  <c r="Y19" i="57"/>
  <c r="X19" i="57"/>
  <c r="W19" i="57"/>
  <c r="V19" i="57"/>
  <c r="U19" i="57"/>
  <c r="T19" i="57"/>
  <c r="AC18" i="57"/>
  <c r="AA18" i="57"/>
  <c r="Z18" i="57"/>
  <c r="Y18" i="57"/>
  <c r="X18" i="57"/>
  <c r="W18" i="57"/>
  <c r="V18" i="57"/>
  <c r="U18" i="57"/>
  <c r="T18" i="57"/>
  <c r="AC17" i="57"/>
  <c r="AA17" i="57"/>
  <c r="Z17" i="57"/>
  <c r="Y17" i="57"/>
  <c r="X17" i="57"/>
  <c r="W17" i="57"/>
  <c r="V17" i="57"/>
  <c r="U17" i="57"/>
  <c r="T17" i="57"/>
  <c r="AC16" i="57"/>
  <c r="AA16" i="57"/>
  <c r="Z16" i="57"/>
  <c r="Y16" i="57"/>
  <c r="X16" i="57"/>
  <c r="W16" i="57"/>
  <c r="V16" i="57"/>
  <c r="U16" i="57"/>
  <c r="T16" i="57"/>
  <c r="AC15" i="57"/>
  <c r="AA15" i="57"/>
  <c r="Z15" i="57"/>
  <c r="Y15" i="57"/>
  <c r="X15" i="57"/>
  <c r="W15" i="57"/>
  <c r="V15" i="57"/>
  <c r="U15" i="57"/>
  <c r="T15" i="57"/>
  <c r="AC14" i="57"/>
  <c r="AA14" i="57"/>
  <c r="Z14" i="57"/>
  <c r="Y14" i="57"/>
  <c r="X14" i="57"/>
  <c r="W14" i="57"/>
  <c r="V14" i="57"/>
  <c r="U14" i="57"/>
  <c r="T14" i="57"/>
  <c r="AC13" i="57"/>
  <c r="AC20" i="56"/>
  <c r="AC19" i="56"/>
  <c r="AA19" i="56"/>
  <c r="Z19" i="56"/>
  <c r="Y19" i="56"/>
  <c r="X19" i="56"/>
  <c r="W19" i="56"/>
  <c r="V19" i="56"/>
  <c r="U19" i="56"/>
  <c r="T19" i="56"/>
  <c r="AC18" i="56"/>
  <c r="AA18" i="56"/>
  <c r="Z18" i="56"/>
  <c r="Y18" i="56"/>
  <c r="X18" i="56"/>
  <c r="W18" i="56"/>
  <c r="V18" i="56"/>
  <c r="U18" i="56"/>
  <c r="T18" i="56"/>
  <c r="AC17" i="56"/>
  <c r="AA17" i="56"/>
  <c r="Z17" i="56"/>
  <c r="Y17" i="56"/>
  <c r="X17" i="56"/>
  <c r="W17" i="56"/>
  <c r="V17" i="56"/>
  <c r="U17" i="56"/>
  <c r="T17" i="56"/>
  <c r="AC16" i="56"/>
  <c r="AA16" i="56"/>
  <c r="Z16" i="56"/>
  <c r="Y16" i="56"/>
  <c r="X16" i="56"/>
  <c r="W16" i="56"/>
  <c r="V16" i="56"/>
  <c r="U16" i="56"/>
  <c r="T16" i="56"/>
  <c r="AC15" i="56"/>
  <c r="AA15" i="56"/>
  <c r="Z15" i="56"/>
  <c r="Y15" i="56"/>
  <c r="X15" i="56"/>
  <c r="W15" i="56"/>
  <c r="V15" i="56"/>
  <c r="U15" i="56"/>
  <c r="T15" i="56"/>
  <c r="AC14" i="56"/>
  <c r="AA14" i="56"/>
  <c r="Z14" i="56"/>
  <c r="Y14" i="56"/>
  <c r="X14" i="56"/>
  <c r="W14" i="56"/>
  <c r="V14" i="56"/>
  <c r="U14" i="56"/>
  <c r="T14" i="56"/>
  <c r="AC13" i="56"/>
  <c r="AC20" i="55"/>
  <c r="AC19" i="55"/>
  <c r="AA19" i="55"/>
  <c r="Z19" i="55"/>
  <c r="Y19" i="55"/>
  <c r="X19" i="55"/>
  <c r="W19" i="55"/>
  <c r="V19" i="55"/>
  <c r="U19" i="55"/>
  <c r="T19" i="55"/>
  <c r="AC18" i="55"/>
  <c r="AA18" i="55"/>
  <c r="Z18" i="55"/>
  <c r="Y18" i="55"/>
  <c r="X18" i="55"/>
  <c r="W18" i="55"/>
  <c r="V18" i="55"/>
  <c r="U18" i="55"/>
  <c r="T18" i="55"/>
  <c r="AC17" i="55"/>
  <c r="AA17" i="55"/>
  <c r="Z17" i="55"/>
  <c r="Y17" i="55"/>
  <c r="X17" i="55"/>
  <c r="W17" i="55"/>
  <c r="V17" i="55"/>
  <c r="U17" i="55"/>
  <c r="T17" i="55"/>
  <c r="AC16" i="55"/>
  <c r="AA16" i="55"/>
  <c r="Z16" i="55"/>
  <c r="Y16" i="55"/>
  <c r="X16" i="55"/>
  <c r="W16" i="55"/>
  <c r="V16" i="55"/>
  <c r="U16" i="55"/>
  <c r="T16" i="55"/>
  <c r="AC15" i="55"/>
  <c r="AA15" i="55"/>
  <c r="Z15" i="55"/>
  <c r="Y15" i="55"/>
  <c r="X15" i="55"/>
  <c r="W15" i="55"/>
  <c r="V15" i="55"/>
  <c r="U15" i="55"/>
  <c r="T15" i="55"/>
  <c r="AC14" i="55"/>
  <c r="AA14" i="55"/>
  <c r="Z14" i="55"/>
  <c r="Y14" i="55"/>
  <c r="X14" i="55"/>
  <c r="W14" i="55"/>
  <c r="V14" i="55"/>
  <c r="U14" i="55"/>
  <c r="T14" i="55"/>
  <c r="AC13" i="55"/>
  <c r="AC20" i="54"/>
  <c r="AC19" i="54"/>
  <c r="AA19" i="54"/>
  <c r="Z19" i="54"/>
  <c r="Y19" i="54"/>
  <c r="X19" i="54"/>
  <c r="W19" i="54"/>
  <c r="V19" i="54"/>
  <c r="U19" i="54"/>
  <c r="T19" i="54"/>
  <c r="AC18" i="54"/>
  <c r="AA18" i="54"/>
  <c r="Z18" i="54"/>
  <c r="Y18" i="54"/>
  <c r="X18" i="54"/>
  <c r="W18" i="54"/>
  <c r="V18" i="54"/>
  <c r="U18" i="54"/>
  <c r="T18" i="54"/>
  <c r="AC17" i="54"/>
  <c r="AA17" i="54"/>
  <c r="Z17" i="54"/>
  <c r="Y17" i="54"/>
  <c r="X17" i="54"/>
  <c r="W17" i="54"/>
  <c r="V17" i="54"/>
  <c r="U17" i="54"/>
  <c r="T17" i="54"/>
  <c r="AC16" i="54"/>
  <c r="AA16" i="54"/>
  <c r="Z16" i="54"/>
  <c r="Y16" i="54"/>
  <c r="X16" i="54"/>
  <c r="W16" i="54"/>
  <c r="V16" i="54"/>
  <c r="U16" i="54"/>
  <c r="T16" i="54"/>
  <c r="AC15" i="54"/>
  <c r="AA15" i="54"/>
  <c r="Z15" i="54"/>
  <c r="Y15" i="54"/>
  <c r="X15" i="54"/>
  <c r="W15" i="54"/>
  <c r="V15" i="54"/>
  <c r="U15" i="54"/>
  <c r="T15" i="54"/>
  <c r="AC14" i="54"/>
  <c r="AA14" i="54"/>
  <c r="Z14" i="54"/>
  <c r="Y14" i="54"/>
  <c r="X14" i="54"/>
  <c r="W14" i="54"/>
  <c r="V14" i="54"/>
  <c r="U14" i="54"/>
  <c r="T14" i="54"/>
  <c r="AC13" i="54"/>
  <c r="AC20" i="53"/>
  <c r="AC19" i="53"/>
  <c r="AA19" i="53"/>
  <c r="Z19" i="53"/>
  <c r="Y19" i="53"/>
  <c r="X19" i="53"/>
  <c r="W19" i="53"/>
  <c r="V19" i="53"/>
  <c r="U19" i="53"/>
  <c r="T19" i="53"/>
  <c r="AC18" i="53"/>
  <c r="AA18" i="53"/>
  <c r="Z18" i="53"/>
  <c r="Y18" i="53"/>
  <c r="X18" i="53"/>
  <c r="W18" i="53"/>
  <c r="V18" i="53"/>
  <c r="U18" i="53"/>
  <c r="T18" i="53"/>
  <c r="AC17" i="53"/>
  <c r="AA17" i="53"/>
  <c r="Z17" i="53"/>
  <c r="Y17" i="53"/>
  <c r="X17" i="53"/>
  <c r="W17" i="53"/>
  <c r="V17" i="53"/>
  <c r="U17" i="53"/>
  <c r="T17" i="53"/>
  <c r="AC16" i="53"/>
  <c r="AA16" i="53"/>
  <c r="Z16" i="53"/>
  <c r="Y16" i="53"/>
  <c r="X16" i="53"/>
  <c r="W16" i="53"/>
  <c r="V16" i="53"/>
  <c r="U16" i="53"/>
  <c r="T16" i="53"/>
  <c r="AC15" i="53"/>
  <c r="AA15" i="53"/>
  <c r="Z15" i="53"/>
  <c r="Y15" i="53"/>
  <c r="X15" i="53"/>
  <c r="W15" i="53"/>
  <c r="V15" i="53"/>
  <c r="U15" i="53"/>
  <c r="T15" i="53"/>
  <c r="AC14" i="53"/>
  <c r="AA14" i="53"/>
  <c r="Z14" i="53"/>
  <c r="Y14" i="53"/>
  <c r="X14" i="53"/>
  <c r="W14" i="53"/>
  <c r="V14" i="53"/>
  <c r="U14" i="53"/>
  <c r="T14" i="53"/>
  <c r="AC13" i="53"/>
  <c r="AC20" i="52"/>
  <c r="AC19" i="52"/>
  <c r="AA19" i="52"/>
  <c r="Z19" i="52"/>
  <c r="Y19" i="52"/>
  <c r="X19" i="52"/>
  <c r="W19" i="52"/>
  <c r="V19" i="52"/>
  <c r="U19" i="52"/>
  <c r="T19" i="52"/>
  <c r="AC18" i="52"/>
  <c r="AA18" i="52"/>
  <c r="Z18" i="52"/>
  <c r="Y18" i="52"/>
  <c r="X18" i="52"/>
  <c r="W18" i="52"/>
  <c r="V18" i="52"/>
  <c r="U18" i="52"/>
  <c r="T18" i="52"/>
  <c r="AC17" i="52"/>
  <c r="AA17" i="52"/>
  <c r="Z17" i="52"/>
  <c r="Y17" i="52"/>
  <c r="X17" i="52"/>
  <c r="W17" i="52"/>
  <c r="V17" i="52"/>
  <c r="U17" i="52"/>
  <c r="T17" i="52"/>
  <c r="AC16" i="52"/>
  <c r="AA16" i="52"/>
  <c r="Z16" i="52"/>
  <c r="Y16" i="52"/>
  <c r="X16" i="52"/>
  <c r="W16" i="52"/>
  <c r="V16" i="52"/>
  <c r="U16" i="52"/>
  <c r="T16" i="52"/>
  <c r="AC15" i="52"/>
  <c r="AA15" i="52"/>
  <c r="Z15" i="52"/>
  <c r="Y15" i="52"/>
  <c r="X15" i="52"/>
  <c r="W15" i="52"/>
  <c r="V15" i="52"/>
  <c r="U15" i="52"/>
  <c r="T15" i="52"/>
  <c r="AC14" i="52"/>
  <c r="AA14" i="52"/>
  <c r="Z14" i="52"/>
  <c r="Y14" i="52"/>
  <c r="X14" i="52"/>
  <c r="W14" i="52"/>
  <c r="V14" i="52"/>
  <c r="U14" i="52"/>
  <c r="T14" i="52"/>
  <c r="AC13" i="52"/>
  <c r="AC20" i="51"/>
  <c r="AC19" i="51"/>
  <c r="AA19" i="51"/>
  <c r="Z19" i="51"/>
  <c r="Y19" i="51"/>
  <c r="X19" i="51"/>
  <c r="W19" i="51"/>
  <c r="V19" i="51"/>
  <c r="U19" i="51"/>
  <c r="T19" i="51"/>
  <c r="AC18" i="51"/>
  <c r="AA18" i="51"/>
  <c r="Z18" i="51"/>
  <c r="Y18" i="51"/>
  <c r="X18" i="51"/>
  <c r="W18" i="51"/>
  <c r="V18" i="51"/>
  <c r="U18" i="51"/>
  <c r="T18" i="51"/>
  <c r="AC17" i="51"/>
  <c r="AA17" i="51"/>
  <c r="Z17" i="51"/>
  <c r="Y17" i="51"/>
  <c r="X17" i="51"/>
  <c r="W17" i="51"/>
  <c r="V17" i="51"/>
  <c r="U17" i="51"/>
  <c r="T17" i="51"/>
  <c r="AC16" i="51"/>
  <c r="AA16" i="51"/>
  <c r="Z16" i="51"/>
  <c r="Y16" i="51"/>
  <c r="X16" i="51"/>
  <c r="W16" i="51"/>
  <c r="V16" i="51"/>
  <c r="U16" i="51"/>
  <c r="T16" i="51"/>
  <c r="AC15" i="51"/>
  <c r="AA15" i="51"/>
  <c r="Z15" i="51"/>
  <c r="Y15" i="51"/>
  <c r="X15" i="51"/>
  <c r="W15" i="51"/>
  <c r="V15" i="51"/>
  <c r="U15" i="51"/>
  <c r="T15" i="51"/>
  <c r="AC14" i="51"/>
  <c r="AA14" i="51"/>
  <c r="Z14" i="51"/>
  <c r="Y14" i="51"/>
  <c r="X14" i="51"/>
  <c r="W14" i="51"/>
  <c r="V14" i="51"/>
  <c r="U14" i="51"/>
  <c r="T14" i="51"/>
  <c r="AC13" i="51"/>
  <c r="AC20" i="50"/>
  <c r="AC19" i="50"/>
  <c r="AA19" i="50"/>
  <c r="Z19" i="50"/>
  <c r="Y19" i="50"/>
  <c r="X19" i="50"/>
  <c r="W19" i="50"/>
  <c r="V19" i="50"/>
  <c r="U19" i="50"/>
  <c r="T19" i="50"/>
  <c r="AC18" i="50"/>
  <c r="AA18" i="50"/>
  <c r="Z18" i="50"/>
  <c r="Y18" i="50"/>
  <c r="X18" i="50"/>
  <c r="W18" i="50"/>
  <c r="V18" i="50"/>
  <c r="U18" i="50"/>
  <c r="T18" i="50"/>
  <c r="AC17" i="50"/>
  <c r="AA17" i="50"/>
  <c r="Z17" i="50"/>
  <c r="Y17" i="50"/>
  <c r="X17" i="50"/>
  <c r="W17" i="50"/>
  <c r="V17" i="50"/>
  <c r="U17" i="50"/>
  <c r="T17" i="50"/>
  <c r="AC16" i="50"/>
  <c r="AA16" i="50"/>
  <c r="Z16" i="50"/>
  <c r="Y16" i="50"/>
  <c r="X16" i="50"/>
  <c r="W16" i="50"/>
  <c r="V16" i="50"/>
  <c r="U16" i="50"/>
  <c r="T16" i="50"/>
  <c r="AC15" i="50"/>
  <c r="AA15" i="50"/>
  <c r="Z15" i="50"/>
  <c r="Y15" i="50"/>
  <c r="X15" i="50"/>
  <c r="W15" i="50"/>
  <c r="V15" i="50"/>
  <c r="U15" i="50"/>
  <c r="T15" i="50"/>
  <c r="AC14" i="50"/>
  <c r="AA14" i="50"/>
  <c r="Z14" i="50"/>
  <c r="Y14" i="50"/>
  <c r="X14" i="50"/>
  <c r="W14" i="50"/>
  <c r="V14" i="50"/>
  <c r="U14" i="50"/>
  <c r="T14" i="50"/>
  <c r="AC13" i="50"/>
  <c r="AC20" i="49"/>
  <c r="AC19" i="49"/>
  <c r="AA19" i="49"/>
  <c r="Z19" i="49"/>
  <c r="Y19" i="49"/>
  <c r="X19" i="49"/>
  <c r="W19" i="49"/>
  <c r="V19" i="49"/>
  <c r="U19" i="49"/>
  <c r="T19" i="49"/>
  <c r="AC18" i="49"/>
  <c r="AA18" i="49"/>
  <c r="Z18" i="49"/>
  <c r="Y18" i="49"/>
  <c r="X18" i="49"/>
  <c r="W18" i="49"/>
  <c r="V18" i="49"/>
  <c r="U18" i="49"/>
  <c r="T18" i="49"/>
  <c r="AC17" i="49"/>
  <c r="AA17" i="49"/>
  <c r="Z17" i="49"/>
  <c r="Y17" i="49"/>
  <c r="X17" i="49"/>
  <c r="W17" i="49"/>
  <c r="V17" i="49"/>
  <c r="U17" i="49"/>
  <c r="T17" i="49"/>
  <c r="AC16" i="49"/>
  <c r="AA16" i="49"/>
  <c r="Z16" i="49"/>
  <c r="Y16" i="49"/>
  <c r="X16" i="49"/>
  <c r="W16" i="49"/>
  <c r="V16" i="49"/>
  <c r="U16" i="49"/>
  <c r="T16" i="49"/>
  <c r="AC15" i="49"/>
  <c r="AA15" i="49"/>
  <c r="Z15" i="49"/>
  <c r="Y15" i="49"/>
  <c r="X15" i="49"/>
  <c r="W15" i="49"/>
  <c r="V15" i="49"/>
  <c r="U15" i="49"/>
  <c r="T15" i="49"/>
  <c r="AC14" i="49"/>
  <c r="AA14" i="49"/>
  <c r="Z14" i="49"/>
  <c r="Y14" i="49"/>
  <c r="X14" i="49"/>
  <c r="W14" i="49"/>
  <c r="V14" i="49"/>
  <c r="U14" i="49"/>
  <c r="T14" i="49"/>
  <c r="AC13" i="49"/>
  <c r="AC20" i="48"/>
  <c r="AC19" i="48"/>
  <c r="AA19" i="48"/>
  <c r="Z19" i="48"/>
  <c r="Y19" i="48"/>
  <c r="X19" i="48"/>
  <c r="W19" i="48"/>
  <c r="V19" i="48"/>
  <c r="U19" i="48"/>
  <c r="T19" i="48"/>
  <c r="AC18" i="48"/>
  <c r="AA18" i="48"/>
  <c r="Z18" i="48"/>
  <c r="Y18" i="48"/>
  <c r="X18" i="48"/>
  <c r="W18" i="48"/>
  <c r="V18" i="48"/>
  <c r="U18" i="48"/>
  <c r="T18" i="48"/>
  <c r="AC17" i="48"/>
  <c r="AA17" i="48"/>
  <c r="Z17" i="48"/>
  <c r="Y17" i="48"/>
  <c r="X17" i="48"/>
  <c r="W17" i="48"/>
  <c r="V17" i="48"/>
  <c r="U17" i="48"/>
  <c r="T17" i="48"/>
  <c r="AC16" i="48"/>
  <c r="AA16" i="48"/>
  <c r="Z16" i="48"/>
  <c r="Y16" i="48"/>
  <c r="X16" i="48"/>
  <c r="W16" i="48"/>
  <c r="V16" i="48"/>
  <c r="U16" i="48"/>
  <c r="T16" i="48"/>
  <c r="AC15" i="48"/>
  <c r="AA15" i="48"/>
  <c r="Z15" i="48"/>
  <c r="Y15" i="48"/>
  <c r="X15" i="48"/>
  <c r="W15" i="48"/>
  <c r="V15" i="48"/>
  <c r="U15" i="48"/>
  <c r="T15" i="48"/>
  <c r="AC14" i="48"/>
  <c r="AA14" i="48"/>
  <c r="Z14" i="48"/>
  <c r="Y14" i="48"/>
  <c r="X14" i="48"/>
  <c r="W14" i="48"/>
  <c r="V14" i="48"/>
  <c r="U14" i="48"/>
  <c r="T14" i="48"/>
  <c r="AC13" i="48"/>
  <c r="AC20" i="47"/>
  <c r="AC19" i="47"/>
  <c r="AA19" i="47"/>
  <c r="Z19" i="47"/>
  <c r="Y19" i="47"/>
  <c r="X19" i="47"/>
  <c r="W19" i="47"/>
  <c r="V19" i="47"/>
  <c r="U19" i="47"/>
  <c r="T19" i="47"/>
  <c r="AC18" i="47"/>
  <c r="AA18" i="47"/>
  <c r="Z18" i="47"/>
  <c r="Y18" i="47"/>
  <c r="X18" i="47"/>
  <c r="W18" i="47"/>
  <c r="V18" i="47"/>
  <c r="U18" i="47"/>
  <c r="T18" i="47"/>
  <c r="AC17" i="47"/>
  <c r="AA17" i="47"/>
  <c r="Z17" i="47"/>
  <c r="Y17" i="47"/>
  <c r="X17" i="47"/>
  <c r="W17" i="47"/>
  <c r="V17" i="47"/>
  <c r="U17" i="47"/>
  <c r="T17" i="47"/>
  <c r="AC16" i="47"/>
  <c r="AA16" i="47"/>
  <c r="Z16" i="47"/>
  <c r="Y16" i="47"/>
  <c r="X16" i="47"/>
  <c r="W16" i="47"/>
  <c r="V16" i="47"/>
  <c r="U16" i="47"/>
  <c r="T16" i="47"/>
  <c r="AC15" i="47"/>
  <c r="AA15" i="47"/>
  <c r="Z15" i="47"/>
  <c r="Y15" i="47"/>
  <c r="X15" i="47"/>
  <c r="W15" i="47"/>
  <c r="V15" i="47"/>
  <c r="U15" i="47"/>
  <c r="T15" i="47"/>
  <c r="AC14" i="47"/>
  <c r="AA14" i="47"/>
  <c r="Z14" i="47"/>
  <c r="Y14" i="47"/>
  <c r="X14" i="47"/>
  <c r="W14" i="47"/>
  <c r="V14" i="47"/>
  <c r="U14" i="47"/>
  <c r="T14" i="47"/>
  <c r="AC13" i="47"/>
  <c r="AC20" i="46"/>
  <c r="AC19" i="46"/>
  <c r="AA19" i="46"/>
  <c r="Z19" i="46"/>
  <c r="Y19" i="46"/>
  <c r="X19" i="46"/>
  <c r="W19" i="46"/>
  <c r="V19" i="46"/>
  <c r="U19" i="46"/>
  <c r="T19" i="46"/>
  <c r="AC18" i="46"/>
  <c r="AA18" i="46"/>
  <c r="Z18" i="46"/>
  <c r="Y18" i="46"/>
  <c r="X18" i="46"/>
  <c r="W18" i="46"/>
  <c r="V18" i="46"/>
  <c r="U18" i="46"/>
  <c r="T18" i="46"/>
  <c r="AC17" i="46"/>
  <c r="AA17" i="46"/>
  <c r="Z17" i="46"/>
  <c r="Y17" i="46"/>
  <c r="X17" i="46"/>
  <c r="W17" i="46"/>
  <c r="V17" i="46"/>
  <c r="U17" i="46"/>
  <c r="T17" i="46"/>
  <c r="AC16" i="46"/>
  <c r="AA16" i="46"/>
  <c r="Z16" i="46"/>
  <c r="Y16" i="46"/>
  <c r="X16" i="46"/>
  <c r="W16" i="46"/>
  <c r="V16" i="46"/>
  <c r="U16" i="46"/>
  <c r="T16" i="46"/>
  <c r="AC15" i="46"/>
  <c r="AA15" i="46"/>
  <c r="Z15" i="46"/>
  <c r="Y15" i="46"/>
  <c r="X15" i="46"/>
  <c r="W15" i="46"/>
  <c r="V15" i="46"/>
  <c r="U15" i="46"/>
  <c r="T15" i="46"/>
  <c r="AC14" i="46"/>
  <c r="AA14" i="46"/>
  <c r="Z14" i="46"/>
  <c r="Y14" i="46"/>
  <c r="X14" i="46"/>
  <c r="W14" i="46"/>
  <c r="V14" i="46"/>
  <c r="U14" i="46"/>
  <c r="T14" i="46"/>
  <c r="AC13" i="46"/>
  <c r="AC20" i="45"/>
  <c r="AC19" i="45"/>
  <c r="AA19" i="45"/>
  <c r="Z19" i="45"/>
  <c r="Y19" i="45"/>
  <c r="X19" i="45"/>
  <c r="W19" i="45"/>
  <c r="V19" i="45"/>
  <c r="U19" i="45"/>
  <c r="T19" i="45"/>
  <c r="AC18" i="45"/>
  <c r="AA18" i="45"/>
  <c r="Z18" i="45"/>
  <c r="Y18" i="45"/>
  <c r="X18" i="45"/>
  <c r="W18" i="45"/>
  <c r="V18" i="45"/>
  <c r="U18" i="45"/>
  <c r="T18" i="45"/>
  <c r="AC17" i="45"/>
  <c r="AA17" i="45"/>
  <c r="Z17" i="45"/>
  <c r="Y17" i="45"/>
  <c r="X17" i="45"/>
  <c r="W17" i="45"/>
  <c r="V17" i="45"/>
  <c r="U17" i="45"/>
  <c r="T17" i="45"/>
  <c r="AC16" i="45"/>
  <c r="AA16" i="45"/>
  <c r="Z16" i="45"/>
  <c r="Y16" i="45"/>
  <c r="X16" i="45"/>
  <c r="W16" i="45"/>
  <c r="V16" i="45"/>
  <c r="U16" i="45"/>
  <c r="T16" i="45"/>
  <c r="AC15" i="45"/>
  <c r="AA15" i="45"/>
  <c r="Z15" i="45"/>
  <c r="Y15" i="45"/>
  <c r="X15" i="45"/>
  <c r="W15" i="45"/>
  <c r="V15" i="45"/>
  <c r="U15" i="45"/>
  <c r="T15" i="45"/>
  <c r="AC14" i="45"/>
  <c r="AA14" i="45"/>
  <c r="Z14" i="45"/>
  <c r="Y14" i="45"/>
  <c r="X14" i="45"/>
  <c r="W14" i="45"/>
  <c r="V14" i="45"/>
  <c r="U14" i="45"/>
  <c r="T14" i="45"/>
  <c r="AC13" i="45"/>
  <c r="AC20" i="44"/>
  <c r="AC19" i="44"/>
  <c r="AA19" i="44"/>
  <c r="Z19" i="44"/>
  <c r="Y19" i="44"/>
  <c r="X19" i="44"/>
  <c r="W19" i="44"/>
  <c r="V19" i="44"/>
  <c r="U19" i="44"/>
  <c r="T19" i="44"/>
  <c r="AC18" i="44"/>
  <c r="AA18" i="44"/>
  <c r="Z18" i="44"/>
  <c r="Y18" i="44"/>
  <c r="X18" i="44"/>
  <c r="W18" i="44"/>
  <c r="V18" i="44"/>
  <c r="U18" i="44"/>
  <c r="T18" i="44"/>
  <c r="AC17" i="44"/>
  <c r="AA17" i="44"/>
  <c r="Z17" i="44"/>
  <c r="Y17" i="44"/>
  <c r="X17" i="44"/>
  <c r="W17" i="44"/>
  <c r="V17" i="44"/>
  <c r="U17" i="44"/>
  <c r="T17" i="44"/>
  <c r="AC16" i="44"/>
  <c r="AA16" i="44"/>
  <c r="Z16" i="44"/>
  <c r="Y16" i="44"/>
  <c r="X16" i="44"/>
  <c r="W16" i="44"/>
  <c r="V16" i="44"/>
  <c r="U16" i="44"/>
  <c r="T16" i="44"/>
  <c r="AC15" i="44"/>
  <c r="AA15" i="44"/>
  <c r="Z15" i="44"/>
  <c r="Y15" i="44"/>
  <c r="X15" i="44"/>
  <c r="W15" i="44"/>
  <c r="V15" i="44"/>
  <c r="U15" i="44"/>
  <c r="T15" i="44"/>
  <c r="AC14" i="44"/>
  <c r="AA14" i="44"/>
  <c r="Z14" i="44"/>
  <c r="Y14" i="44"/>
  <c r="X14" i="44"/>
  <c r="W14" i="44"/>
  <c r="V14" i="44"/>
  <c r="U14" i="44"/>
  <c r="T14" i="44"/>
  <c r="AC13" i="44"/>
  <c r="AC20" i="43"/>
  <c r="AC19" i="43"/>
  <c r="AA19" i="43"/>
  <c r="Z19" i="43"/>
  <c r="Y19" i="43"/>
  <c r="X19" i="43"/>
  <c r="W19" i="43"/>
  <c r="V19" i="43"/>
  <c r="U19" i="43"/>
  <c r="T19" i="43"/>
  <c r="AC18" i="43"/>
  <c r="AA18" i="43"/>
  <c r="Z18" i="43"/>
  <c r="Y18" i="43"/>
  <c r="X18" i="43"/>
  <c r="W18" i="43"/>
  <c r="V18" i="43"/>
  <c r="U18" i="43"/>
  <c r="T18" i="43"/>
  <c r="AC17" i="43"/>
  <c r="AA17" i="43"/>
  <c r="Z17" i="43"/>
  <c r="Y17" i="43"/>
  <c r="X17" i="43"/>
  <c r="W17" i="43"/>
  <c r="V17" i="43"/>
  <c r="U17" i="43"/>
  <c r="T17" i="43"/>
  <c r="AC16" i="43"/>
  <c r="AA16" i="43"/>
  <c r="Z16" i="43"/>
  <c r="Y16" i="43"/>
  <c r="X16" i="43"/>
  <c r="W16" i="43"/>
  <c r="V16" i="43"/>
  <c r="U16" i="43"/>
  <c r="T16" i="43"/>
  <c r="AC15" i="43"/>
  <c r="AA15" i="43"/>
  <c r="Z15" i="43"/>
  <c r="Y15" i="43"/>
  <c r="X15" i="43"/>
  <c r="W15" i="43"/>
  <c r="V15" i="43"/>
  <c r="U15" i="43"/>
  <c r="T15" i="43"/>
  <c r="AC14" i="43"/>
  <c r="AA14" i="43"/>
  <c r="Z14" i="43"/>
  <c r="Y14" i="43"/>
  <c r="X14" i="43"/>
  <c r="W14" i="43"/>
  <c r="V14" i="43"/>
  <c r="U14" i="43"/>
  <c r="T14" i="43"/>
  <c r="AC13" i="43"/>
  <c r="AC20" i="42"/>
  <c r="AC19" i="42"/>
  <c r="AA19" i="42"/>
  <c r="Z19" i="42"/>
  <c r="Y19" i="42"/>
  <c r="X19" i="42"/>
  <c r="W19" i="42"/>
  <c r="V19" i="42"/>
  <c r="U19" i="42"/>
  <c r="T19" i="42"/>
  <c r="AC18" i="42"/>
  <c r="AA18" i="42"/>
  <c r="Z18" i="42"/>
  <c r="Y18" i="42"/>
  <c r="X18" i="42"/>
  <c r="W18" i="42"/>
  <c r="V18" i="42"/>
  <c r="U18" i="42"/>
  <c r="T18" i="42"/>
  <c r="AC17" i="42"/>
  <c r="AA17" i="42"/>
  <c r="Z17" i="42"/>
  <c r="Y17" i="42"/>
  <c r="X17" i="42"/>
  <c r="W17" i="42"/>
  <c r="V17" i="42"/>
  <c r="U17" i="42"/>
  <c r="T17" i="42"/>
  <c r="AC16" i="42"/>
  <c r="AA16" i="42"/>
  <c r="Z16" i="42"/>
  <c r="Y16" i="42"/>
  <c r="X16" i="42"/>
  <c r="W16" i="42"/>
  <c r="V16" i="42"/>
  <c r="U16" i="42"/>
  <c r="T16" i="42"/>
  <c r="AC15" i="42"/>
  <c r="AA15" i="42"/>
  <c r="Z15" i="42"/>
  <c r="Y15" i="42"/>
  <c r="X15" i="42"/>
  <c r="W15" i="42"/>
  <c r="V15" i="42"/>
  <c r="U15" i="42"/>
  <c r="T15" i="42"/>
  <c r="AC14" i="42"/>
  <c r="AA14" i="42"/>
  <c r="Z14" i="42"/>
  <c r="Y14" i="42"/>
  <c r="X14" i="42"/>
  <c r="W14" i="42"/>
  <c r="V14" i="42"/>
  <c r="U14" i="42"/>
  <c r="T14" i="42"/>
  <c r="AC13" i="42"/>
  <c r="AC20" i="41"/>
  <c r="AC19" i="41"/>
  <c r="AA19" i="41"/>
  <c r="Z19" i="41"/>
  <c r="Y19" i="41"/>
  <c r="X19" i="41"/>
  <c r="W19" i="41"/>
  <c r="V19" i="41"/>
  <c r="U19" i="41"/>
  <c r="T19" i="41"/>
  <c r="AC18" i="41"/>
  <c r="AA18" i="41"/>
  <c r="Z18" i="41"/>
  <c r="Y18" i="41"/>
  <c r="X18" i="41"/>
  <c r="W18" i="41"/>
  <c r="V18" i="41"/>
  <c r="U18" i="41"/>
  <c r="T18" i="41"/>
  <c r="AC17" i="41"/>
  <c r="AA17" i="41"/>
  <c r="Z17" i="41"/>
  <c r="Y17" i="41"/>
  <c r="X17" i="41"/>
  <c r="W17" i="41"/>
  <c r="V17" i="41"/>
  <c r="U17" i="41"/>
  <c r="T17" i="41"/>
  <c r="AC16" i="41"/>
  <c r="AA16" i="41"/>
  <c r="Z16" i="41"/>
  <c r="Y16" i="41"/>
  <c r="X16" i="41"/>
  <c r="W16" i="41"/>
  <c r="V16" i="41"/>
  <c r="U16" i="41"/>
  <c r="T16" i="41"/>
  <c r="AC15" i="41"/>
  <c r="AA15" i="41"/>
  <c r="Z15" i="41"/>
  <c r="Y15" i="41"/>
  <c r="X15" i="41"/>
  <c r="W15" i="41"/>
  <c r="V15" i="41"/>
  <c r="U15" i="41"/>
  <c r="T15" i="41"/>
  <c r="AC14" i="41"/>
  <c r="AA14" i="41"/>
  <c r="Z14" i="41"/>
  <c r="Y14" i="41"/>
  <c r="X14" i="41"/>
  <c r="W14" i="41"/>
  <c r="V14" i="41"/>
  <c r="U14" i="41"/>
  <c r="T14" i="41"/>
  <c r="AC13" i="41"/>
  <c r="AC20" i="40"/>
  <c r="AC19" i="40"/>
  <c r="AA19" i="40"/>
  <c r="Z19" i="40"/>
  <c r="Y19" i="40"/>
  <c r="X19" i="40"/>
  <c r="W19" i="40"/>
  <c r="V19" i="40"/>
  <c r="U19" i="40"/>
  <c r="T19" i="40"/>
  <c r="AC18" i="40"/>
  <c r="AA18" i="40"/>
  <c r="Z18" i="40"/>
  <c r="Y18" i="40"/>
  <c r="X18" i="40"/>
  <c r="W18" i="40"/>
  <c r="V18" i="40"/>
  <c r="U18" i="40"/>
  <c r="T18" i="40"/>
  <c r="AC17" i="40"/>
  <c r="AA17" i="40"/>
  <c r="Z17" i="40"/>
  <c r="Y17" i="40"/>
  <c r="X17" i="40"/>
  <c r="W17" i="40"/>
  <c r="V17" i="40"/>
  <c r="U17" i="40"/>
  <c r="T17" i="40"/>
  <c r="AC16" i="40"/>
  <c r="AA16" i="40"/>
  <c r="Z16" i="40"/>
  <c r="Y16" i="40"/>
  <c r="X16" i="40"/>
  <c r="W16" i="40"/>
  <c r="V16" i="40"/>
  <c r="U16" i="40"/>
  <c r="T16" i="40"/>
  <c r="AC15" i="40"/>
  <c r="AA15" i="40"/>
  <c r="Z15" i="40"/>
  <c r="Y15" i="40"/>
  <c r="X15" i="40"/>
  <c r="W15" i="40"/>
  <c r="V15" i="40"/>
  <c r="U15" i="40"/>
  <c r="T15" i="40"/>
  <c r="AC14" i="40"/>
  <c r="AA14" i="40"/>
  <c r="Z14" i="40"/>
  <c r="Y14" i="40"/>
  <c r="X14" i="40"/>
  <c r="W14" i="40"/>
  <c r="V14" i="40"/>
  <c r="U14" i="40"/>
  <c r="T14" i="40"/>
  <c r="AC13" i="40"/>
  <c r="AC20" i="39"/>
  <c r="AC19" i="39"/>
  <c r="AA19" i="39"/>
  <c r="Z19" i="39"/>
  <c r="Y19" i="39"/>
  <c r="X19" i="39"/>
  <c r="W19" i="39"/>
  <c r="V19" i="39"/>
  <c r="U19" i="39"/>
  <c r="T19" i="39"/>
  <c r="AC18" i="39"/>
  <c r="AA18" i="39"/>
  <c r="Z18" i="39"/>
  <c r="Y18" i="39"/>
  <c r="X18" i="39"/>
  <c r="W18" i="39"/>
  <c r="V18" i="39"/>
  <c r="U18" i="39"/>
  <c r="T18" i="39"/>
  <c r="AC17" i="39"/>
  <c r="AA17" i="39"/>
  <c r="Z17" i="39"/>
  <c r="Y17" i="39"/>
  <c r="X17" i="39"/>
  <c r="W17" i="39"/>
  <c r="V17" i="39"/>
  <c r="U17" i="39"/>
  <c r="T17" i="39"/>
  <c r="AC16" i="39"/>
  <c r="AA16" i="39"/>
  <c r="Z16" i="39"/>
  <c r="Y16" i="39"/>
  <c r="X16" i="39"/>
  <c r="W16" i="39"/>
  <c r="V16" i="39"/>
  <c r="U16" i="39"/>
  <c r="T16" i="39"/>
  <c r="AC15" i="39"/>
  <c r="AA15" i="39"/>
  <c r="Z15" i="39"/>
  <c r="Y15" i="39"/>
  <c r="X15" i="39"/>
  <c r="W15" i="39"/>
  <c r="V15" i="39"/>
  <c r="U15" i="39"/>
  <c r="T15" i="39"/>
  <c r="AC14" i="39"/>
  <c r="AA14" i="39"/>
  <c r="Z14" i="39"/>
  <c r="Y14" i="39"/>
  <c r="X14" i="39"/>
  <c r="W14" i="39"/>
  <c r="V14" i="39"/>
  <c r="U14" i="39"/>
  <c r="T14" i="39"/>
  <c r="AC13" i="39"/>
  <c r="AA19" i="38"/>
  <c r="Z19" i="38"/>
  <c r="Y19" i="38"/>
  <c r="X19" i="38"/>
  <c r="W19" i="38"/>
  <c r="V19" i="38"/>
  <c r="U19" i="38"/>
  <c r="T19" i="38"/>
  <c r="AA18" i="38"/>
  <c r="Z18" i="38"/>
  <c r="Y18" i="38"/>
  <c r="X18" i="38"/>
  <c r="W18" i="38"/>
  <c r="V18" i="38"/>
  <c r="U18" i="38"/>
  <c r="T18" i="38"/>
  <c r="AA17" i="38"/>
  <c r="Z17" i="38"/>
  <c r="Y17" i="38"/>
  <c r="X17" i="38"/>
  <c r="W17" i="38"/>
  <c r="V17" i="38"/>
  <c r="U17" i="38"/>
  <c r="T17" i="38"/>
  <c r="AA16" i="38"/>
  <c r="Z16" i="38"/>
  <c r="Y16" i="38"/>
  <c r="X16" i="38"/>
  <c r="W16" i="38"/>
  <c r="V16" i="38"/>
  <c r="U16" i="38"/>
  <c r="T16" i="38"/>
  <c r="AA15" i="38"/>
  <c r="Z15" i="38"/>
  <c r="Y15" i="38"/>
  <c r="X15" i="38"/>
  <c r="W15" i="38"/>
  <c r="V15" i="38"/>
  <c r="U15" i="38"/>
  <c r="T15" i="38"/>
  <c r="AA14" i="38"/>
  <c r="Z14" i="38"/>
  <c r="Y14" i="38"/>
  <c r="X14" i="38"/>
  <c r="W14" i="38"/>
  <c r="V14" i="38"/>
  <c r="U14" i="38"/>
  <c r="T14" i="38"/>
  <c r="AC20" i="37"/>
  <c r="AC19" i="37"/>
  <c r="AA19" i="37"/>
  <c r="Z19" i="37"/>
  <c r="Y19" i="37"/>
  <c r="X19" i="37"/>
  <c r="W19" i="37"/>
  <c r="V19" i="37"/>
  <c r="U19" i="37"/>
  <c r="T19" i="37"/>
  <c r="AC18" i="37"/>
  <c r="AA18" i="37"/>
  <c r="Z18" i="37"/>
  <c r="Y18" i="37"/>
  <c r="X18" i="37"/>
  <c r="W18" i="37"/>
  <c r="V18" i="37"/>
  <c r="U18" i="37"/>
  <c r="T18" i="37"/>
  <c r="AC17" i="37"/>
  <c r="AA17" i="37"/>
  <c r="Z17" i="37"/>
  <c r="Y17" i="37"/>
  <c r="X17" i="37"/>
  <c r="W17" i="37"/>
  <c r="V17" i="37"/>
  <c r="U17" i="37"/>
  <c r="T17" i="37"/>
  <c r="AC16" i="37"/>
  <c r="AA16" i="37"/>
  <c r="Z16" i="37"/>
  <c r="Y16" i="37"/>
  <c r="X16" i="37"/>
  <c r="W16" i="37"/>
  <c r="V16" i="37"/>
  <c r="U16" i="37"/>
  <c r="T16" i="37"/>
  <c r="AC15" i="37"/>
  <c r="AA15" i="37"/>
  <c r="Z15" i="37"/>
  <c r="Y15" i="37"/>
  <c r="X15" i="37"/>
  <c r="W15" i="37"/>
  <c r="V15" i="37"/>
  <c r="U15" i="37"/>
  <c r="T15" i="37"/>
  <c r="AC14" i="37"/>
  <c r="AA14" i="37"/>
  <c r="Z14" i="37"/>
  <c r="Y14" i="37"/>
  <c r="X14" i="37"/>
  <c r="W14" i="37"/>
  <c r="V14" i="37"/>
  <c r="U14" i="37"/>
  <c r="T14" i="37"/>
  <c r="AC13" i="37"/>
  <c r="AA19" i="36"/>
  <c r="Z19" i="36"/>
  <c r="Y19" i="36"/>
  <c r="X19" i="36"/>
  <c r="W19" i="36"/>
  <c r="V19" i="36"/>
  <c r="U19" i="36"/>
  <c r="T19" i="36"/>
  <c r="AA18" i="36"/>
  <c r="Z18" i="36"/>
  <c r="Y18" i="36"/>
  <c r="X18" i="36"/>
  <c r="W18" i="36"/>
  <c r="V18" i="36"/>
  <c r="U18" i="36"/>
  <c r="T18" i="36"/>
  <c r="AA17" i="36"/>
  <c r="Z17" i="36"/>
  <c r="Y17" i="36"/>
  <c r="X17" i="36"/>
  <c r="W17" i="36"/>
  <c r="V17" i="36"/>
  <c r="U17" i="36"/>
  <c r="T17" i="36"/>
  <c r="AA16" i="36"/>
  <c r="Z16" i="36"/>
  <c r="Y16" i="36"/>
  <c r="X16" i="36"/>
  <c r="W16" i="36"/>
  <c r="V16" i="36"/>
  <c r="U16" i="36"/>
  <c r="T16" i="36"/>
  <c r="AA15" i="36"/>
  <c r="Z15" i="36"/>
  <c r="Y15" i="36"/>
  <c r="X15" i="36"/>
  <c r="W15" i="36"/>
  <c r="V15" i="36"/>
  <c r="U15" i="36"/>
  <c r="T15" i="36"/>
  <c r="AA14" i="36"/>
  <c r="Z14" i="36"/>
  <c r="Y14" i="36"/>
  <c r="X14" i="36"/>
  <c r="W14" i="36"/>
  <c r="V14" i="36"/>
  <c r="U14" i="36"/>
  <c r="T14" i="36"/>
  <c r="AC20" i="35"/>
  <c r="AC19" i="35"/>
  <c r="AA19" i="35"/>
  <c r="Z19" i="35"/>
  <c r="Y19" i="35"/>
  <c r="X19" i="35"/>
  <c r="W19" i="35"/>
  <c r="V19" i="35"/>
  <c r="U19" i="35"/>
  <c r="T19" i="35"/>
  <c r="AC18" i="35"/>
  <c r="AA18" i="35"/>
  <c r="Z18" i="35"/>
  <c r="Y18" i="35"/>
  <c r="X18" i="35"/>
  <c r="W18" i="35"/>
  <c r="V18" i="35"/>
  <c r="U18" i="35"/>
  <c r="T18" i="35"/>
  <c r="AC17" i="35"/>
  <c r="AA17" i="35"/>
  <c r="Z17" i="35"/>
  <c r="Y17" i="35"/>
  <c r="X17" i="35"/>
  <c r="W17" i="35"/>
  <c r="V17" i="35"/>
  <c r="U17" i="35"/>
  <c r="T17" i="35"/>
  <c r="AC16" i="35"/>
  <c r="AA16" i="35"/>
  <c r="Z16" i="35"/>
  <c r="Y16" i="35"/>
  <c r="X16" i="35"/>
  <c r="W16" i="35"/>
  <c r="V16" i="35"/>
  <c r="U16" i="35"/>
  <c r="T16" i="35"/>
  <c r="AC15" i="35"/>
  <c r="AA15" i="35"/>
  <c r="Z15" i="35"/>
  <c r="Y15" i="35"/>
  <c r="X15" i="35"/>
  <c r="W15" i="35"/>
  <c r="V15" i="35"/>
  <c r="U15" i="35"/>
  <c r="T15" i="35"/>
  <c r="AC14" i="35"/>
  <c r="AA14" i="35"/>
  <c r="Z14" i="35"/>
  <c r="Y14" i="35"/>
  <c r="X14" i="35"/>
  <c r="W14" i="35"/>
  <c r="V14" i="35"/>
  <c r="U14" i="35"/>
  <c r="T14" i="35"/>
  <c r="AC13" i="35"/>
  <c r="AC20" i="34"/>
  <c r="AC19" i="34"/>
  <c r="AA19" i="34"/>
  <c r="Z19" i="34"/>
  <c r="Y19" i="34"/>
  <c r="X19" i="34"/>
  <c r="W19" i="34"/>
  <c r="V19" i="34"/>
  <c r="U19" i="34"/>
  <c r="T19" i="34"/>
  <c r="AC18" i="34"/>
  <c r="AA18" i="34"/>
  <c r="Z18" i="34"/>
  <c r="Y18" i="34"/>
  <c r="X18" i="34"/>
  <c r="W18" i="34"/>
  <c r="V18" i="34"/>
  <c r="U18" i="34"/>
  <c r="T18" i="34"/>
  <c r="AC17" i="34"/>
  <c r="AA17" i="34"/>
  <c r="Z17" i="34"/>
  <c r="Y17" i="34"/>
  <c r="X17" i="34"/>
  <c r="W17" i="34"/>
  <c r="V17" i="34"/>
  <c r="U17" i="34"/>
  <c r="T17" i="34"/>
  <c r="AC16" i="34"/>
  <c r="AA16" i="34"/>
  <c r="Z16" i="34"/>
  <c r="Y16" i="34"/>
  <c r="X16" i="34"/>
  <c r="W16" i="34"/>
  <c r="V16" i="34"/>
  <c r="U16" i="34"/>
  <c r="T16" i="34"/>
  <c r="AC15" i="34"/>
  <c r="AA15" i="34"/>
  <c r="Z15" i="34"/>
  <c r="Y15" i="34"/>
  <c r="X15" i="34"/>
  <c r="W15" i="34"/>
  <c r="V15" i="34"/>
  <c r="U15" i="34"/>
  <c r="T15" i="34"/>
  <c r="AC14" i="34"/>
  <c r="AA14" i="34"/>
  <c r="Z14" i="34"/>
  <c r="Y14" i="34"/>
  <c r="X14" i="34"/>
  <c r="W14" i="34"/>
  <c r="V14" i="34"/>
  <c r="U14" i="34"/>
  <c r="T14" i="34"/>
  <c r="AC13" i="34"/>
  <c r="AA19" i="33"/>
  <c r="Z19" i="33"/>
  <c r="Y19" i="33"/>
  <c r="X19" i="33"/>
  <c r="W19" i="33"/>
  <c r="V19" i="33"/>
  <c r="U19" i="33"/>
  <c r="T19" i="33"/>
  <c r="AA18" i="33"/>
  <c r="Z18" i="33"/>
  <c r="Y18" i="33"/>
  <c r="X18" i="33"/>
  <c r="W18" i="33"/>
  <c r="V18" i="33"/>
  <c r="U18" i="33"/>
  <c r="T18" i="33"/>
  <c r="AA17" i="33"/>
  <c r="Z17" i="33"/>
  <c r="Y17" i="33"/>
  <c r="X17" i="33"/>
  <c r="W17" i="33"/>
  <c r="V17" i="33"/>
  <c r="U17" i="33"/>
  <c r="T17" i="33"/>
  <c r="AA16" i="33"/>
  <c r="Z16" i="33"/>
  <c r="Y16" i="33"/>
  <c r="X16" i="33"/>
  <c r="W16" i="33"/>
  <c r="V16" i="33"/>
  <c r="U16" i="33"/>
  <c r="T16" i="33"/>
  <c r="AA15" i="33"/>
  <c r="Z15" i="33"/>
  <c r="Y15" i="33"/>
  <c r="X15" i="33"/>
  <c r="W15" i="33"/>
  <c r="V15" i="33"/>
  <c r="U15" i="33"/>
  <c r="T15" i="33"/>
  <c r="AA14" i="33"/>
  <c r="Z14" i="33"/>
  <c r="Y14" i="33"/>
  <c r="X14" i="33"/>
  <c r="W14" i="33"/>
  <c r="V14" i="33"/>
  <c r="U14" i="33"/>
  <c r="T14" i="33"/>
  <c r="AC20" i="32"/>
  <c r="AC19" i="32"/>
  <c r="AA19" i="32"/>
  <c r="Z19" i="32"/>
  <c r="Y19" i="32"/>
  <c r="X19" i="32"/>
  <c r="W19" i="32"/>
  <c r="V19" i="32"/>
  <c r="U19" i="32"/>
  <c r="T19" i="32"/>
  <c r="AC18" i="32"/>
  <c r="AA18" i="32"/>
  <c r="Z18" i="32"/>
  <c r="Y18" i="32"/>
  <c r="X18" i="32"/>
  <c r="W18" i="32"/>
  <c r="V18" i="32"/>
  <c r="U18" i="32"/>
  <c r="T18" i="32"/>
  <c r="AC17" i="32"/>
  <c r="AA17" i="32"/>
  <c r="Z17" i="32"/>
  <c r="Y17" i="32"/>
  <c r="X17" i="32"/>
  <c r="W17" i="32"/>
  <c r="V17" i="32"/>
  <c r="U17" i="32"/>
  <c r="T17" i="32"/>
  <c r="AC16" i="32"/>
  <c r="AA16" i="32"/>
  <c r="Z16" i="32"/>
  <c r="Y16" i="32"/>
  <c r="X16" i="32"/>
  <c r="W16" i="32"/>
  <c r="V16" i="32"/>
  <c r="U16" i="32"/>
  <c r="T16" i="32"/>
  <c r="AC15" i="32"/>
  <c r="AA15" i="32"/>
  <c r="Z15" i="32"/>
  <c r="Y15" i="32"/>
  <c r="X15" i="32"/>
  <c r="W15" i="32"/>
  <c r="V15" i="32"/>
  <c r="U15" i="32"/>
  <c r="T15" i="32"/>
  <c r="AC14" i="32"/>
  <c r="AA14" i="32"/>
  <c r="Z14" i="32"/>
  <c r="Y14" i="32"/>
  <c r="X14" i="32"/>
  <c r="W14" i="32"/>
  <c r="V14" i="32"/>
  <c r="U14" i="32"/>
  <c r="T14" i="32"/>
  <c r="AC13" i="32"/>
  <c r="AC20" i="31"/>
  <c r="AC19" i="31"/>
  <c r="AA19" i="31"/>
  <c r="Z19" i="31"/>
  <c r="Y19" i="31"/>
  <c r="X19" i="31"/>
  <c r="W19" i="31"/>
  <c r="V19" i="31"/>
  <c r="U19" i="31"/>
  <c r="T19" i="31"/>
  <c r="AC18" i="31"/>
  <c r="AA18" i="31"/>
  <c r="Z18" i="31"/>
  <c r="Y18" i="31"/>
  <c r="X18" i="31"/>
  <c r="W18" i="31"/>
  <c r="V18" i="31"/>
  <c r="U18" i="31"/>
  <c r="T18" i="31"/>
  <c r="AC17" i="31"/>
  <c r="AA17" i="31"/>
  <c r="Z17" i="31"/>
  <c r="Y17" i="31"/>
  <c r="X17" i="31"/>
  <c r="W17" i="31"/>
  <c r="V17" i="31"/>
  <c r="U17" i="31"/>
  <c r="T17" i="31"/>
  <c r="AC16" i="31"/>
  <c r="AA16" i="31"/>
  <c r="Z16" i="31"/>
  <c r="Y16" i="31"/>
  <c r="X16" i="31"/>
  <c r="W16" i="31"/>
  <c r="V16" i="31"/>
  <c r="U16" i="31"/>
  <c r="T16" i="31"/>
  <c r="AC15" i="31"/>
  <c r="AA15" i="31"/>
  <c r="Z15" i="31"/>
  <c r="Y15" i="31"/>
  <c r="X15" i="31"/>
  <c r="W15" i="31"/>
  <c r="V15" i="31"/>
  <c r="U15" i="31"/>
  <c r="T15" i="31"/>
  <c r="AC14" i="31"/>
  <c r="AA14" i="31"/>
  <c r="Z14" i="31"/>
  <c r="Y14" i="31"/>
  <c r="X14" i="31"/>
  <c r="W14" i="31"/>
  <c r="V14" i="31"/>
  <c r="U14" i="31"/>
  <c r="T14" i="31"/>
  <c r="AC13" i="31"/>
  <c r="AC20" i="30"/>
  <c r="AC19" i="30"/>
  <c r="AA19" i="30"/>
  <c r="Z19" i="30"/>
  <c r="Y19" i="30"/>
  <c r="X19" i="30"/>
  <c r="W19" i="30"/>
  <c r="V19" i="30"/>
  <c r="U19" i="30"/>
  <c r="T19" i="30"/>
  <c r="AC18" i="30"/>
  <c r="AA18" i="30"/>
  <c r="Z18" i="30"/>
  <c r="Y18" i="30"/>
  <c r="X18" i="30"/>
  <c r="W18" i="30"/>
  <c r="V18" i="30"/>
  <c r="U18" i="30"/>
  <c r="T18" i="30"/>
  <c r="AC17" i="30"/>
  <c r="AA17" i="30"/>
  <c r="Z17" i="30"/>
  <c r="Y17" i="30"/>
  <c r="X17" i="30"/>
  <c r="W17" i="30"/>
  <c r="V17" i="30"/>
  <c r="U17" i="30"/>
  <c r="T17" i="30"/>
  <c r="AC16" i="30"/>
  <c r="AA16" i="30"/>
  <c r="Z16" i="30"/>
  <c r="Y16" i="30"/>
  <c r="X16" i="30"/>
  <c r="W16" i="30"/>
  <c r="V16" i="30"/>
  <c r="U16" i="30"/>
  <c r="T16" i="30"/>
  <c r="AC15" i="30"/>
  <c r="AA15" i="30"/>
  <c r="Z15" i="30"/>
  <c r="Y15" i="30"/>
  <c r="X15" i="30"/>
  <c r="W15" i="30"/>
  <c r="V15" i="30"/>
  <c r="U15" i="30"/>
  <c r="T15" i="30"/>
  <c r="AC14" i="30"/>
  <c r="AA14" i="30"/>
  <c r="Z14" i="30"/>
  <c r="Y14" i="30"/>
  <c r="X14" i="30"/>
  <c r="W14" i="30"/>
  <c r="V14" i="30"/>
  <c r="U14" i="30"/>
  <c r="T14" i="30"/>
  <c r="AC13" i="30"/>
  <c r="AA19" i="29"/>
  <c r="Z19" i="29"/>
  <c r="Y19" i="29"/>
  <c r="X19" i="29"/>
  <c r="W19" i="29"/>
  <c r="V19" i="29"/>
  <c r="U19" i="29"/>
  <c r="T19" i="29"/>
  <c r="AA18" i="29"/>
  <c r="Z18" i="29"/>
  <c r="Y18" i="29"/>
  <c r="X18" i="29"/>
  <c r="W18" i="29"/>
  <c r="V18" i="29"/>
  <c r="U18" i="29"/>
  <c r="T18" i="29"/>
  <c r="AA17" i="29"/>
  <c r="Z17" i="29"/>
  <c r="Y17" i="29"/>
  <c r="X17" i="29"/>
  <c r="W17" i="29"/>
  <c r="V17" i="29"/>
  <c r="U17" i="29"/>
  <c r="T17" i="29"/>
  <c r="AA16" i="29"/>
  <c r="Z16" i="29"/>
  <c r="Y16" i="29"/>
  <c r="X16" i="29"/>
  <c r="W16" i="29"/>
  <c r="V16" i="29"/>
  <c r="U16" i="29"/>
  <c r="T16" i="29"/>
  <c r="AA15" i="29"/>
  <c r="Z15" i="29"/>
  <c r="Y15" i="29"/>
  <c r="X15" i="29"/>
  <c r="W15" i="29"/>
  <c r="V15" i="29"/>
  <c r="U15" i="29"/>
  <c r="T15" i="29"/>
  <c r="AA14" i="29"/>
  <c r="Z14" i="29"/>
  <c r="Y14" i="29"/>
  <c r="X14" i="29"/>
  <c r="W14" i="29"/>
  <c r="V14" i="29"/>
  <c r="U14" i="29"/>
  <c r="T14" i="29"/>
  <c r="AC20" i="28"/>
  <c r="AC19" i="28"/>
  <c r="AA19" i="28"/>
  <c r="Z19" i="28"/>
  <c r="Y19" i="28"/>
  <c r="X19" i="28"/>
  <c r="W19" i="28"/>
  <c r="V19" i="28"/>
  <c r="U19" i="28"/>
  <c r="T19" i="28"/>
  <c r="AC18" i="28"/>
  <c r="AA18" i="28"/>
  <c r="Z18" i="28"/>
  <c r="Y18" i="28"/>
  <c r="X18" i="28"/>
  <c r="W18" i="28"/>
  <c r="V18" i="28"/>
  <c r="U18" i="28"/>
  <c r="T18" i="28"/>
  <c r="AC17" i="28"/>
  <c r="AA17" i="28"/>
  <c r="Z17" i="28"/>
  <c r="Y17" i="28"/>
  <c r="X17" i="28"/>
  <c r="W17" i="28"/>
  <c r="V17" i="28"/>
  <c r="U17" i="28"/>
  <c r="T17" i="28"/>
  <c r="AC16" i="28"/>
  <c r="AA16" i="28"/>
  <c r="Z16" i="28"/>
  <c r="Y16" i="28"/>
  <c r="X16" i="28"/>
  <c r="W16" i="28"/>
  <c r="V16" i="28"/>
  <c r="U16" i="28"/>
  <c r="T16" i="28"/>
  <c r="AC15" i="28"/>
  <c r="AA15" i="28"/>
  <c r="Z15" i="28"/>
  <c r="Y15" i="28"/>
  <c r="X15" i="28"/>
  <c r="W15" i="28"/>
  <c r="V15" i="28"/>
  <c r="U15" i="28"/>
  <c r="T15" i="28"/>
  <c r="AC14" i="28"/>
  <c r="AA14" i="28"/>
  <c r="Z14" i="28"/>
  <c r="Y14" i="28"/>
  <c r="X14" i="28"/>
  <c r="W14" i="28"/>
  <c r="V14" i="28"/>
  <c r="U14" i="28"/>
  <c r="T14" i="28"/>
  <c r="AC13" i="28"/>
  <c r="AC20" i="27"/>
  <c r="AC19" i="27"/>
  <c r="AA19" i="27"/>
  <c r="Z19" i="27"/>
  <c r="Y19" i="27"/>
  <c r="X19" i="27"/>
  <c r="W19" i="27"/>
  <c r="V19" i="27"/>
  <c r="U19" i="27"/>
  <c r="T19" i="27"/>
  <c r="AC18" i="27"/>
  <c r="AA18" i="27"/>
  <c r="Z18" i="27"/>
  <c r="Y18" i="27"/>
  <c r="X18" i="27"/>
  <c r="W18" i="27"/>
  <c r="V18" i="27"/>
  <c r="U18" i="27"/>
  <c r="T18" i="27"/>
  <c r="AC17" i="27"/>
  <c r="AA17" i="27"/>
  <c r="Z17" i="27"/>
  <c r="Y17" i="27"/>
  <c r="X17" i="27"/>
  <c r="W17" i="27"/>
  <c r="V17" i="27"/>
  <c r="U17" i="27"/>
  <c r="T17" i="27"/>
  <c r="AC16" i="27"/>
  <c r="AA16" i="27"/>
  <c r="Z16" i="27"/>
  <c r="Y16" i="27"/>
  <c r="X16" i="27"/>
  <c r="W16" i="27"/>
  <c r="V16" i="27"/>
  <c r="U16" i="27"/>
  <c r="T16" i="27"/>
  <c r="AC15" i="27"/>
  <c r="AA15" i="27"/>
  <c r="Z15" i="27"/>
  <c r="Y15" i="27"/>
  <c r="X15" i="27"/>
  <c r="W15" i="27"/>
  <c r="V15" i="27"/>
  <c r="U15" i="27"/>
  <c r="T15" i="27"/>
  <c r="AC14" i="27"/>
  <c r="AA14" i="27"/>
  <c r="Z14" i="27"/>
  <c r="Y14" i="27"/>
  <c r="X14" i="27"/>
  <c r="W14" i="27"/>
  <c r="V14" i="27"/>
  <c r="U14" i="27"/>
  <c r="T14" i="27"/>
  <c r="AC13" i="27"/>
  <c r="AC20" i="26"/>
  <c r="AC19" i="26"/>
  <c r="AA19" i="26"/>
  <c r="Z19" i="26"/>
  <c r="Y19" i="26"/>
  <c r="X19" i="26"/>
  <c r="W19" i="26"/>
  <c r="V19" i="26"/>
  <c r="U19" i="26"/>
  <c r="T19" i="26"/>
  <c r="AC18" i="26"/>
  <c r="AA18" i="26"/>
  <c r="Z18" i="26"/>
  <c r="Y18" i="26"/>
  <c r="X18" i="26"/>
  <c r="W18" i="26"/>
  <c r="V18" i="26"/>
  <c r="U18" i="26"/>
  <c r="T18" i="26"/>
  <c r="AC17" i="26"/>
  <c r="AA17" i="26"/>
  <c r="Z17" i="26"/>
  <c r="Y17" i="26"/>
  <c r="X17" i="26"/>
  <c r="W17" i="26"/>
  <c r="V17" i="26"/>
  <c r="U17" i="26"/>
  <c r="T17" i="26"/>
  <c r="AC16" i="26"/>
  <c r="AA16" i="26"/>
  <c r="Z16" i="26"/>
  <c r="Y16" i="26"/>
  <c r="X16" i="26"/>
  <c r="W16" i="26"/>
  <c r="V16" i="26"/>
  <c r="U16" i="26"/>
  <c r="T16" i="26"/>
  <c r="AC15" i="26"/>
  <c r="AA15" i="26"/>
  <c r="Z15" i="26"/>
  <c r="Y15" i="26"/>
  <c r="X15" i="26"/>
  <c r="W15" i="26"/>
  <c r="V15" i="26"/>
  <c r="U15" i="26"/>
  <c r="T15" i="26"/>
  <c r="AC14" i="26"/>
  <c r="AA14" i="26"/>
  <c r="Z14" i="26"/>
  <c r="Y14" i="26"/>
  <c r="X14" i="26"/>
  <c r="W14" i="26"/>
  <c r="V14" i="26"/>
  <c r="U14" i="26"/>
  <c r="T14" i="26"/>
  <c r="AC13" i="26"/>
  <c r="AA19" i="5"/>
  <c r="Z19" i="5"/>
  <c r="Y19" i="5"/>
  <c r="X19" i="5"/>
  <c r="W19" i="5"/>
  <c r="V19" i="5"/>
  <c r="U19" i="5"/>
  <c r="T19" i="5"/>
  <c r="AA18" i="5"/>
  <c r="Z18" i="5"/>
  <c r="Y18" i="5"/>
  <c r="X18" i="5"/>
  <c r="W18" i="5"/>
  <c r="V18" i="5"/>
  <c r="U18" i="5"/>
  <c r="T18" i="5"/>
  <c r="AA17" i="5"/>
  <c r="Z17" i="5"/>
  <c r="Y17" i="5"/>
  <c r="X17" i="5"/>
  <c r="W17" i="5"/>
  <c r="V17" i="5"/>
  <c r="U17" i="5"/>
  <c r="T17" i="5"/>
  <c r="AA16" i="5"/>
  <c r="Z16" i="5"/>
  <c r="Y16" i="5"/>
  <c r="X16" i="5"/>
  <c r="W16" i="5"/>
  <c r="V16" i="5"/>
  <c r="U16" i="5"/>
  <c r="T16" i="5"/>
  <c r="AA15" i="5"/>
  <c r="Z15" i="5"/>
  <c r="Y15" i="5"/>
  <c r="X15" i="5"/>
  <c r="W15" i="5"/>
  <c r="V15" i="5"/>
  <c r="U15" i="5"/>
  <c r="T15" i="5"/>
  <c r="AA14" i="5"/>
  <c r="Z14" i="5"/>
  <c r="Y14" i="5"/>
  <c r="X14" i="5"/>
  <c r="W14" i="5"/>
  <c r="V14" i="5"/>
  <c r="U14" i="5"/>
  <c r="T14" i="5"/>
  <c r="AC20" i="25"/>
  <c r="AC19" i="25"/>
  <c r="AA19" i="25"/>
  <c r="Z19" i="25"/>
  <c r="Y19" i="25"/>
  <c r="X19" i="25"/>
  <c r="W19" i="25"/>
  <c r="V19" i="25"/>
  <c r="U19" i="25"/>
  <c r="T19" i="25"/>
  <c r="AC18" i="25"/>
  <c r="AA18" i="25"/>
  <c r="Z18" i="25"/>
  <c r="Y18" i="25"/>
  <c r="X18" i="25"/>
  <c r="W18" i="25"/>
  <c r="V18" i="25"/>
  <c r="U18" i="25"/>
  <c r="T18" i="25"/>
  <c r="AC17" i="25"/>
  <c r="AA17" i="25"/>
  <c r="Z17" i="25"/>
  <c r="Y17" i="25"/>
  <c r="X17" i="25"/>
  <c r="W17" i="25"/>
  <c r="V17" i="25"/>
  <c r="U17" i="25"/>
  <c r="T17" i="25"/>
  <c r="AC16" i="25"/>
  <c r="AA16" i="25"/>
  <c r="Z16" i="25"/>
  <c r="Y16" i="25"/>
  <c r="X16" i="25"/>
  <c r="W16" i="25"/>
  <c r="V16" i="25"/>
  <c r="U16" i="25"/>
  <c r="T16" i="25"/>
  <c r="AC15" i="25"/>
  <c r="AA15" i="25"/>
  <c r="Z15" i="25"/>
  <c r="Y15" i="25"/>
  <c r="X15" i="25"/>
  <c r="W15" i="25"/>
  <c r="V15" i="25"/>
  <c r="U15" i="25"/>
  <c r="T15" i="25"/>
  <c r="AC14" i="25"/>
  <c r="AA14" i="25"/>
  <c r="Z14" i="25"/>
  <c r="Y14" i="25"/>
  <c r="X14" i="25"/>
  <c r="W14" i="25"/>
  <c r="V14" i="25"/>
  <c r="U14" i="25"/>
  <c r="T14" i="25"/>
  <c r="AC13" i="25"/>
  <c r="AC20" i="24"/>
  <c r="AC19" i="24"/>
  <c r="AA19" i="24"/>
  <c r="Z19" i="24"/>
  <c r="Y19" i="24"/>
  <c r="X19" i="24"/>
  <c r="W19" i="24"/>
  <c r="V19" i="24"/>
  <c r="U19" i="24"/>
  <c r="T19" i="24"/>
  <c r="AC18" i="24"/>
  <c r="AA18" i="24"/>
  <c r="Z18" i="24"/>
  <c r="Y18" i="24"/>
  <c r="X18" i="24"/>
  <c r="W18" i="24"/>
  <c r="V18" i="24"/>
  <c r="U18" i="24"/>
  <c r="T18" i="24"/>
  <c r="AC17" i="24"/>
  <c r="AA17" i="24"/>
  <c r="Z17" i="24"/>
  <c r="Y17" i="24"/>
  <c r="X17" i="24"/>
  <c r="W17" i="24"/>
  <c r="V17" i="24"/>
  <c r="U17" i="24"/>
  <c r="T17" i="24"/>
  <c r="AC16" i="24"/>
  <c r="AA16" i="24"/>
  <c r="Z16" i="24"/>
  <c r="Y16" i="24"/>
  <c r="X16" i="24"/>
  <c r="W16" i="24"/>
  <c r="V16" i="24"/>
  <c r="U16" i="24"/>
  <c r="T16" i="24"/>
  <c r="AC15" i="24"/>
  <c r="AA15" i="24"/>
  <c r="Z15" i="24"/>
  <c r="Y15" i="24"/>
  <c r="X15" i="24"/>
  <c r="W15" i="24"/>
  <c r="V15" i="24"/>
  <c r="U15" i="24"/>
  <c r="T15" i="24"/>
  <c r="AC14" i="24"/>
  <c r="AA14" i="24"/>
  <c r="Z14" i="24"/>
  <c r="Y14" i="24"/>
  <c r="X14" i="24"/>
  <c r="W14" i="24"/>
  <c r="V14" i="24"/>
  <c r="U14" i="24"/>
  <c r="T14" i="24"/>
  <c r="AC13" i="24"/>
  <c r="AC20" i="23"/>
  <c r="AC19" i="23"/>
  <c r="AA19" i="23"/>
  <c r="Z19" i="23"/>
  <c r="Y19" i="23"/>
  <c r="X19" i="23"/>
  <c r="W19" i="23"/>
  <c r="V19" i="23"/>
  <c r="U19" i="23"/>
  <c r="T19" i="23"/>
  <c r="AC18" i="23"/>
  <c r="AA18" i="23"/>
  <c r="Z18" i="23"/>
  <c r="Y18" i="23"/>
  <c r="X18" i="23"/>
  <c r="W18" i="23"/>
  <c r="V18" i="23"/>
  <c r="U18" i="23"/>
  <c r="T18" i="23"/>
  <c r="AC17" i="23"/>
  <c r="AA17" i="23"/>
  <c r="Z17" i="23"/>
  <c r="Y17" i="23"/>
  <c r="X17" i="23"/>
  <c r="W17" i="23"/>
  <c r="V17" i="23"/>
  <c r="U17" i="23"/>
  <c r="T17" i="23"/>
  <c r="AC16" i="23"/>
  <c r="AA16" i="23"/>
  <c r="Z16" i="23"/>
  <c r="Y16" i="23"/>
  <c r="X16" i="23"/>
  <c r="W16" i="23"/>
  <c r="V16" i="23"/>
  <c r="U16" i="23"/>
  <c r="T16" i="23"/>
  <c r="AC15" i="23"/>
  <c r="AA15" i="23"/>
  <c r="Z15" i="23"/>
  <c r="Y15" i="23"/>
  <c r="X15" i="23"/>
  <c r="W15" i="23"/>
  <c r="V15" i="23"/>
  <c r="U15" i="23"/>
  <c r="T15" i="23"/>
  <c r="AC14" i="23"/>
  <c r="AA14" i="23"/>
  <c r="Z14" i="23"/>
  <c r="Y14" i="23"/>
  <c r="X14" i="23"/>
  <c r="W14" i="23"/>
  <c r="V14" i="23"/>
  <c r="U14" i="23"/>
  <c r="T14" i="23"/>
  <c r="AC13" i="23"/>
  <c r="AC20" i="22"/>
  <c r="AC19" i="22"/>
  <c r="AA19" i="22"/>
  <c r="Z19" i="22"/>
  <c r="Y19" i="22"/>
  <c r="X19" i="22"/>
  <c r="W19" i="22"/>
  <c r="V19" i="22"/>
  <c r="U19" i="22"/>
  <c r="T19" i="22"/>
  <c r="AC18" i="22"/>
  <c r="AA18" i="22"/>
  <c r="Z18" i="22"/>
  <c r="Y18" i="22"/>
  <c r="X18" i="22"/>
  <c r="W18" i="22"/>
  <c r="V18" i="22"/>
  <c r="U18" i="22"/>
  <c r="T18" i="22"/>
  <c r="AC17" i="22"/>
  <c r="AA17" i="22"/>
  <c r="Z17" i="22"/>
  <c r="Y17" i="22"/>
  <c r="X17" i="22"/>
  <c r="W17" i="22"/>
  <c r="V17" i="22"/>
  <c r="U17" i="22"/>
  <c r="T17" i="22"/>
  <c r="AC16" i="22"/>
  <c r="AA16" i="22"/>
  <c r="Z16" i="22"/>
  <c r="Y16" i="22"/>
  <c r="X16" i="22"/>
  <c r="W16" i="22"/>
  <c r="V16" i="22"/>
  <c r="U16" i="22"/>
  <c r="T16" i="22"/>
  <c r="AC15" i="22"/>
  <c r="AA15" i="22"/>
  <c r="Z15" i="22"/>
  <c r="Y15" i="22"/>
  <c r="X15" i="22"/>
  <c r="W15" i="22"/>
  <c r="V15" i="22"/>
  <c r="U15" i="22"/>
  <c r="T15" i="22"/>
  <c r="AC14" i="22"/>
  <c r="AA14" i="22"/>
  <c r="Z14" i="22"/>
  <c r="Y14" i="22"/>
  <c r="X14" i="22"/>
  <c r="W14" i="22"/>
  <c r="V14" i="22"/>
  <c r="U14" i="22"/>
  <c r="T14" i="22"/>
  <c r="AC13" i="22"/>
  <c r="AC20" i="21"/>
  <c r="AC19" i="21"/>
  <c r="AA19" i="21"/>
  <c r="Z19" i="21"/>
  <c r="Y19" i="21"/>
  <c r="X19" i="21"/>
  <c r="W19" i="21"/>
  <c r="V19" i="21"/>
  <c r="U19" i="21"/>
  <c r="T19" i="21"/>
  <c r="AC18" i="21"/>
  <c r="AA18" i="21"/>
  <c r="Z18" i="21"/>
  <c r="Y18" i="21"/>
  <c r="X18" i="21"/>
  <c r="W18" i="21"/>
  <c r="V18" i="21"/>
  <c r="U18" i="21"/>
  <c r="T18" i="21"/>
  <c r="AC17" i="21"/>
  <c r="AA17" i="21"/>
  <c r="Z17" i="21"/>
  <c r="Y17" i="21"/>
  <c r="X17" i="21"/>
  <c r="W17" i="21"/>
  <c r="V17" i="21"/>
  <c r="U17" i="21"/>
  <c r="T17" i="21"/>
  <c r="AC16" i="21"/>
  <c r="AA16" i="21"/>
  <c r="Z16" i="21"/>
  <c r="Y16" i="21"/>
  <c r="X16" i="21"/>
  <c r="W16" i="21"/>
  <c r="V16" i="21"/>
  <c r="U16" i="21"/>
  <c r="T16" i="21"/>
  <c r="AC15" i="21"/>
  <c r="AA15" i="21"/>
  <c r="Z15" i="21"/>
  <c r="Y15" i="21"/>
  <c r="X15" i="21"/>
  <c r="W15" i="21"/>
  <c r="V15" i="21"/>
  <c r="U15" i="21"/>
  <c r="T15" i="21"/>
  <c r="AC14" i="21"/>
  <c r="AA14" i="21"/>
  <c r="Z14" i="21"/>
  <c r="Y14" i="21"/>
  <c r="X14" i="21"/>
  <c r="W14" i="21"/>
  <c r="V14" i="21"/>
  <c r="U14" i="21"/>
  <c r="T14" i="21"/>
  <c r="AC13" i="21"/>
  <c r="AA19" i="20"/>
  <c r="Z19" i="20"/>
  <c r="Y19" i="20"/>
  <c r="X19" i="20"/>
  <c r="W19" i="20"/>
  <c r="V19" i="20"/>
  <c r="U19" i="20"/>
  <c r="T19" i="20"/>
  <c r="AA18" i="20"/>
  <c r="Z18" i="20"/>
  <c r="Y18" i="20"/>
  <c r="X18" i="20"/>
  <c r="W18" i="20"/>
  <c r="V18" i="20"/>
  <c r="U18" i="20"/>
  <c r="T18" i="20"/>
  <c r="AA17" i="20"/>
  <c r="Z17" i="20"/>
  <c r="Y17" i="20"/>
  <c r="X17" i="20"/>
  <c r="W17" i="20"/>
  <c r="V17" i="20"/>
  <c r="U17" i="20"/>
  <c r="T17" i="20"/>
  <c r="AA16" i="20"/>
  <c r="Z16" i="20"/>
  <c r="Y16" i="20"/>
  <c r="X16" i="20"/>
  <c r="W16" i="20"/>
  <c r="V16" i="20"/>
  <c r="U16" i="20"/>
  <c r="T16" i="20"/>
  <c r="AA15" i="20"/>
  <c r="Z15" i="20"/>
  <c r="Y15" i="20"/>
  <c r="X15" i="20"/>
  <c r="W15" i="20"/>
  <c r="V15" i="20"/>
  <c r="U15" i="20"/>
  <c r="T15" i="20"/>
  <c r="AA14" i="20"/>
  <c r="Z14" i="20"/>
  <c r="Y14" i="20"/>
  <c r="X14" i="20"/>
  <c r="W14" i="20"/>
  <c r="V14" i="20"/>
  <c r="U14" i="20"/>
  <c r="T14" i="20"/>
  <c r="AA19" i="19"/>
  <c r="Z19" i="19"/>
  <c r="Y19" i="19"/>
  <c r="X19" i="19"/>
  <c r="W19" i="19"/>
  <c r="V19" i="19"/>
  <c r="U19" i="19"/>
  <c r="T19" i="19"/>
  <c r="AA18" i="19"/>
  <c r="Z18" i="19"/>
  <c r="Y18" i="19"/>
  <c r="X18" i="19"/>
  <c r="W18" i="19"/>
  <c r="V18" i="19"/>
  <c r="U18" i="19"/>
  <c r="T18" i="19"/>
  <c r="AA17" i="19"/>
  <c r="Z17" i="19"/>
  <c r="Y17" i="19"/>
  <c r="X17" i="19"/>
  <c r="W17" i="19"/>
  <c r="V17" i="19"/>
  <c r="U17" i="19"/>
  <c r="T17" i="19"/>
  <c r="AA16" i="19"/>
  <c r="Z16" i="19"/>
  <c r="Y16" i="19"/>
  <c r="X16" i="19"/>
  <c r="W16" i="19"/>
  <c r="V16" i="19"/>
  <c r="U16" i="19"/>
  <c r="T16" i="19"/>
  <c r="AA15" i="19"/>
  <c r="Z15" i="19"/>
  <c r="Y15" i="19"/>
  <c r="X15" i="19"/>
  <c r="W15" i="19"/>
  <c r="V15" i="19"/>
  <c r="U15" i="19"/>
  <c r="T15" i="19"/>
  <c r="AA14" i="19"/>
  <c r="Z14" i="19"/>
  <c r="Y14" i="19"/>
  <c r="X14" i="19"/>
  <c r="W14" i="19"/>
  <c r="V14" i="19"/>
  <c r="U14" i="19"/>
  <c r="T14" i="19"/>
  <c r="AA19" i="18"/>
  <c r="Z19" i="18"/>
  <c r="Y19" i="18"/>
  <c r="X19" i="18"/>
  <c r="W19" i="18"/>
  <c r="V19" i="18"/>
  <c r="U19" i="18"/>
  <c r="T19" i="18"/>
  <c r="AA18" i="18"/>
  <c r="Z18" i="18"/>
  <c r="Y18" i="18"/>
  <c r="X18" i="18"/>
  <c r="W18" i="18"/>
  <c r="V18" i="18"/>
  <c r="U18" i="18"/>
  <c r="T18" i="18"/>
  <c r="AA17" i="18"/>
  <c r="Z17" i="18"/>
  <c r="Y17" i="18"/>
  <c r="X17" i="18"/>
  <c r="W17" i="18"/>
  <c r="V17" i="18"/>
  <c r="U17" i="18"/>
  <c r="T17" i="18"/>
  <c r="AA16" i="18"/>
  <c r="Z16" i="18"/>
  <c r="Y16" i="18"/>
  <c r="X16" i="18"/>
  <c r="W16" i="18"/>
  <c r="V16" i="18"/>
  <c r="U16" i="18"/>
  <c r="T16" i="18"/>
  <c r="AA15" i="18"/>
  <c r="Z15" i="18"/>
  <c r="Y15" i="18"/>
  <c r="X15" i="18"/>
  <c r="W15" i="18"/>
  <c r="V15" i="18"/>
  <c r="U15" i="18"/>
  <c r="T15" i="18"/>
  <c r="AA14" i="18"/>
  <c r="Z14" i="18"/>
  <c r="Y14" i="18"/>
  <c r="X14" i="18"/>
  <c r="W14" i="18"/>
  <c r="V14" i="18"/>
  <c r="U14" i="18"/>
  <c r="T14" i="18"/>
  <c r="AA19" i="17"/>
  <c r="Z19" i="17"/>
  <c r="Y19" i="17"/>
  <c r="X19" i="17"/>
  <c r="W19" i="17"/>
  <c r="V19" i="17"/>
  <c r="U19" i="17"/>
  <c r="T19" i="17"/>
  <c r="AA18" i="17"/>
  <c r="Z18" i="17"/>
  <c r="Y18" i="17"/>
  <c r="X18" i="17"/>
  <c r="W18" i="17"/>
  <c r="V18" i="17"/>
  <c r="U18" i="17"/>
  <c r="T18" i="17"/>
  <c r="AA17" i="17"/>
  <c r="Z17" i="17"/>
  <c r="Y17" i="17"/>
  <c r="X17" i="17"/>
  <c r="W17" i="17"/>
  <c r="V17" i="17"/>
  <c r="U17" i="17"/>
  <c r="T17" i="17"/>
  <c r="AA16" i="17"/>
  <c r="Z16" i="17"/>
  <c r="Y16" i="17"/>
  <c r="X16" i="17"/>
  <c r="W16" i="17"/>
  <c r="V16" i="17"/>
  <c r="U16" i="17"/>
  <c r="T16" i="17"/>
  <c r="AA15" i="17"/>
  <c r="Z15" i="17"/>
  <c r="Y15" i="17"/>
  <c r="X15" i="17"/>
  <c r="W15" i="17"/>
  <c r="V15" i="17"/>
  <c r="U15" i="17"/>
  <c r="T15" i="17"/>
  <c r="AA14" i="17"/>
  <c r="Z14" i="17"/>
  <c r="Y14" i="17"/>
  <c r="X14" i="17"/>
  <c r="W14" i="17"/>
  <c r="V14" i="17"/>
  <c r="U14" i="17"/>
  <c r="T14" i="17"/>
  <c r="AC20" i="16"/>
  <c r="AC19" i="16"/>
  <c r="AA19" i="16"/>
  <c r="Z19" i="16"/>
  <c r="Y19" i="16"/>
  <c r="X19" i="16"/>
  <c r="W19" i="16"/>
  <c r="V19" i="16"/>
  <c r="U19" i="16"/>
  <c r="T19" i="16"/>
  <c r="AC18" i="16"/>
  <c r="AA18" i="16"/>
  <c r="Z18" i="16"/>
  <c r="Y18" i="16"/>
  <c r="X18" i="16"/>
  <c r="W18" i="16"/>
  <c r="V18" i="16"/>
  <c r="U18" i="16"/>
  <c r="T18" i="16"/>
  <c r="AC17" i="16"/>
  <c r="AA17" i="16"/>
  <c r="Z17" i="16"/>
  <c r="Y17" i="16"/>
  <c r="X17" i="16"/>
  <c r="W17" i="16"/>
  <c r="V17" i="16"/>
  <c r="U17" i="16"/>
  <c r="T17" i="16"/>
  <c r="AC16" i="16"/>
  <c r="AA16" i="16"/>
  <c r="Z16" i="16"/>
  <c r="Y16" i="16"/>
  <c r="X16" i="16"/>
  <c r="W16" i="16"/>
  <c r="V16" i="16"/>
  <c r="U16" i="16"/>
  <c r="T16" i="16"/>
  <c r="AC15" i="16"/>
  <c r="AA15" i="16"/>
  <c r="Z15" i="16"/>
  <c r="Y15" i="16"/>
  <c r="X15" i="16"/>
  <c r="W15" i="16"/>
  <c r="V15" i="16"/>
  <c r="U15" i="16"/>
  <c r="T15" i="16"/>
  <c r="AC14" i="16"/>
  <c r="AA14" i="16"/>
  <c r="Z14" i="16"/>
  <c r="Y14" i="16"/>
  <c r="X14" i="16"/>
  <c r="W14" i="16"/>
  <c r="V14" i="16"/>
  <c r="U14" i="16"/>
  <c r="T14" i="16"/>
  <c r="AC13" i="16"/>
  <c r="AA19" i="12"/>
  <c r="Z19" i="12"/>
  <c r="Y19" i="12"/>
  <c r="X19" i="12"/>
  <c r="W19" i="12"/>
  <c r="V19" i="12"/>
  <c r="U19" i="12"/>
  <c r="T19" i="12"/>
  <c r="AA18" i="12"/>
  <c r="Z18" i="12"/>
  <c r="Y18" i="12"/>
  <c r="X18" i="12"/>
  <c r="W18" i="12"/>
  <c r="V18" i="12"/>
  <c r="U18" i="12"/>
  <c r="T18" i="12"/>
  <c r="AA17" i="12"/>
  <c r="Z17" i="12"/>
  <c r="Y17" i="12"/>
  <c r="X17" i="12"/>
  <c r="W17" i="12"/>
  <c r="V17" i="12"/>
  <c r="U17" i="12"/>
  <c r="T17" i="12"/>
  <c r="AA16" i="12"/>
  <c r="Z16" i="12"/>
  <c r="Y16" i="12"/>
  <c r="X16" i="12"/>
  <c r="W16" i="12"/>
  <c r="V16" i="12"/>
  <c r="U16" i="12"/>
  <c r="T16" i="12"/>
  <c r="AA15" i="12"/>
  <c r="Z15" i="12"/>
  <c r="Y15" i="12"/>
  <c r="X15" i="12"/>
  <c r="W15" i="12"/>
  <c r="V15" i="12"/>
  <c r="U15" i="12"/>
  <c r="T15" i="12"/>
  <c r="AA14" i="12"/>
  <c r="Z14" i="12"/>
  <c r="Y14" i="12"/>
  <c r="X14" i="12"/>
  <c r="W14" i="12"/>
  <c r="V14" i="12"/>
  <c r="U14" i="12"/>
  <c r="T14" i="12"/>
  <c r="AA19" i="15"/>
  <c r="Z19" i="15"/>
  <c r="Y19" i="15"/>
  <c r="X19" i="15"/>
  <c r="W19" i="15"/>
  <c r="V19" i="15"/>
  <c r="U19" i="15"/>
  <c r="T19" i="15"/>
  <c r="AA18" i="15"/>
  <c r="Z18" i="15"/>
  <c r="Y18" i="15"/>
  <c r="X18" i="15"/>
  <c r="W18" i="15"/>
  <c r="V18" i="15"/>
  <c r="U18" i="15"/>
  <c r="T18" i="15"/>
  <c r="AA17" i="15"/>
  <c r="Z17" i="15"/>
  <c r="Y17" i="15"/>
  <c r="X17" i="15"/>
  <c r="W17" i="15"/>
  <c r="V17" i="15"/>
  <c r="U17" i="15"/>
  <c r="T17" i="15"/>
  <c r="AA16" i="15"/>
  <c r="Z16" i="15"/>
  <c r="Y16" i="15"/>
  <c r="X16" i="15"/>
  <c r="W16" i="15"/>
  <c r="V16" i="15"/>
  <c r="U16" i="15"/>
  <c r="T16" i="15"/>
  <c r="AA15" i="15"/>
  <c r="Z15" i="15"/>
  <c r="Y15" i="15"/>
  <c r="X15" i="15"/>
  <c r="W15" i="15"/>
  <c r="V15" i="15"/>
  <c r="U15" i="15"/>
  <c r="T15" i="15"/>
  <c r="AA14" i="15"/>
  <c r="Z14" i="15"/>
  <c r="Y14" i="15"/>
  <c r="X14" i="15"/>
  <c r="W14" i="15"/>
  <c r="V14" i="15"/>
  <c r="U14" i="15"/>
  <c r="T14" i="15"/>
  <c r="AA19" i="14"/>
  <c r="Z19" i="14"/>
  <c r="Y19" i="14"/>
  <c r="X19" i="14"/>
  <c r="W19" i="14"/>
  <c r="V19" i="14"/>
  <c r="U19" i="14"/>
  <c r="T19" i="14"/>
  <c r="AA18" i="14"/>
  <c r="Z18" i="14"/>
  <c r="Y18" i="14"/>
  <c r="X18" i="14"/>
  <c r="W18" i="14"/>
  <c r="V18" i="14"/>
  <c r="U18" i="14"/>
  <c r="T18" i="14"/>
  <c r="AA17" i="14"/>
  <c r="Z17" i="14"/>
  <c r="Y17" i="14"/>
  <c r="X17" i="14"/>
  <c r="W17" i="14"/>
  <c r="V17" i="14"/>
  <c r="U17" i="14"/>
  <c r="T17" i="14"/>
  <c r="AA16" i="14"/>
  <c r="Z16" i="14"/>
  <c r="Y16" i="14"/>
  <c r="X16" i="14"/>
  <c r="W16" i="14"/>
  <c r="V16" i="14"/>
  <c r="U16" i="14"/>
  <c r="T16" i="14"/>
  <c r="AA15" i="14"/>
  <c r="Z15" i="14"/>
  <c r="Y15" i="14"/>
  <c r="X15" i="14"/>
  <c r="W15" i="14"/>
  <c r="V15" i="14"/>
  <c r="U15" i="14"/>
  <c r="T15" i="14"/>
  <c r="AA14" i="14"/>
  <c r="Z14" i="14"/>
  <c r="Y14" i="14"/>
  <c r="X14" i="14"/>
  <c r="W14" i="14"/>
  <c r="V14" i="14"/>
  <c r="U14" i="14"/>
  <c r="T14" i="14"/>
  <c r="AA19" i="13"/>
  <c r="Z19" i="13"/>
  <c r="Y19" i="13"/>
  <c r="X19" i="13"/>
  <c r="W19" i="13"/>
  <c r="V19" i="13"/>
  <c r="U19" i="13"/>
  <c r="T19" i="13"/>
  <c r="AA18" i="13"/>
  <c r="Z18" i="13"/>
  <c r="Y18" i="13"/>
  <c r="X18" i="13"/>
  <c r="W18" i="13"/>
  <c r="V18" i="13"/>
  <c r="U18" i="13"/>
  <c r="T18" i="13"/>
  <c r="AA17" i="13"/>
  <c r="Z17" i="13"/>
  <c r="Y17" i="13"/>
  <c r="X17" i="13"/>
  <c r="W17" i="13"/>
  <c r="V17" i="13"/>
  <c r="U17" i="13"/>
  <c r="T17" i="13"/>
  <c r="AA16" i="13"/>
  <c r="Z16" i="13"/>
  <c r="Y16" i="13"/>
  <c r="X16" i="13"/>
  <c r="W16" i="13"/>
  <c r="V16" i="13"/>
  <c r="U16" i="13"/>
  <c r="T16" i="13"/>
  <c r="AA15" i="13"/>
  <c r="Z15" i="13"/>
  <c r="Y15" i="13"/>
  <c r="X15" i="13"/>
  <c r="W15" i="13"/>
  <c r="V15" i="13"/>
  <c r="U15" i="13"/>
  <c r="T15" i="13"/>
  <c r="AA14" i="13"/>
  <c r="Z14" i="13"/>
  <c r="Y14" i="13"/>
  <c r="X14" i="13"/>
  <c r="W14" i="13"/>
  <c r="V14" i="13"/>
  <c r="U14" i="13"/>
  <c r="T14" i="13"/>
  <c r="AA19" i="11"/>
  <c r="Z19" i="11"/>
  <c r="Y19" i="11"/>
  <c r="X19" i="11"/>
  <c r="W19" i="11"/>
  <c r="V19" i="11"/>
  <c r="U19" i="11"/>
  <c r="T19" i="11"/>
  <c r="AA18" i="11"/>
  <c r="Z18" i="11"/>
  <c r="Y18" i="11"/>
  <c r="X18" i="11"/>
  <c r="W18" i="11"/>
  <c r="V18" i="11"/>
  <c r="U18" i="11"/>
  <c r="T18" i="11"/>
  <c r="AA17" i="11"/>
  <c r="Z17" i="11"/>
  <c r="Y17" i="11"/>
  <c r="X17" i="11"/>
  <c r="W17" i="11"/>
  <c r="V17" i="11"/>
  <c r="U17" i="11"/>
  <c r="T17" i="11"/>
  <c r="AA16" i="11"/>
  <c r="Z16" i="11"/>
  <c r="Y16" i="11"/>
  <c r="X16" i="11"/>
  <c r="W16" i="11"/>
  <c r="V16" i="11"/>
  <c r="U16" i="11"/>
  <c r="T16" i="11"/>
  <c r="AA15" i="11"/>
  <c r="Z15" i="11"/>
  <c r="Y15" i="11"/>
  <c r="X15" i="11"/>
  <c r="W15" i="11"/>
  <c r="V15" i="11"/>
  <c r="U15" i="11"/>
  <c r="T15" i="11"/>
  <c r="AA14" i="11"/>
  <c r="Z14" i="11"/>
  <c r="Y14" i="11"/>
  <c r="X14" i="11"/>
  <c r="W14" i="11"/>
  <c r="V14" i="11"/>
  <c r="U14" i="11"/>
  <c r="T14" i="11"/>
  <c r="AA19" i="10"/>
  <c r="Z19" i="10"/>
  <c r="Y19" i="10"/>
  <c r="X19" i="10"/>
  <c r="W19" i="10"/>
  <c r="V19" i="10"/>
  <c r="U19" i="10"/>
  <c r="T19" i="10"/>
  <c r="AA18" i="10"/>
  <c r="Z18" i="10"/>
  <c r="Y18" i="10"/>
  <c r="X18" i="10"/>
  <c r="W18" i="10"/>
  <c r="V18" i="10"/>
  <c r="U18" i="10"/>
  <c r="T18" i="10"/>
  <c r="AA17" i="10"/>
  <c r="Z17" i="10"/>
  <c r="Y17" i="10"/>
  <c r="X17" i="10"/>
  <c r="W17" i="10"/>
  <c r="V17" i="10"/>
  <c r="U17" i="10"/>
  <c r="T17" i="10"/>
  <c r="AA16" i="10"/>
  <c r="Z16" i="10"/>
  <c r="Y16" i="10"/>
  <c r="X16" i="10"/>
  <c r="W16" i="10"/>
  <c r="V16" i="10"/>
  <c r="U16" i="10"/>
  <c r="T16" i="10"/>
  <c r="AA15" i="10"/>
  <c r="Z15" i="10"/>
  <c r="Y15" i="10"/>
  <c r="X15" i="10"/>
  <c r="W15" i="10"/>
  <c r="V15" i="10"/>
  <c r="U15" i="10"/>
  <c r="T15" i="10"/>
  <c r="AA14" i="10"/>
  <c r="Z14" i="10"/>
  <c r="Y14" i="10"/>
  <c r="X14" i="10"/>
  <c r="W14" i="10"/>
  <c r="V14" i="10"/>
  <c r="U14" i="10"/>
  <c r="T14" i="10"/>
  <c r="AA19" i="9"/>
  <c r="Z19" i="9"/>
  <c r="Y19" i="9"/>
  <c r="X19" i="9"/>
  <c r="W19" i="9"/>
  <c r="V19" i="9"/>
  <c r="U19" i="9"/>
  <c r="T19" i="9"/>
  <c r="AA18" i="9"/>
  <c r="Z18" i="9"/>
  <c r="Y18" i="9"/>
  <c r="X18" i="9"/>
  <c r="W18" i="9"/>
  <c r="V18" i="9"/>
  <c r="U18" i="9"/>
  <c r="T18" i="9"/>
  <c r="AA17" i="9"/>
  <c r="Z17" i="9"/>
  <c r="Y17" i="9"/>
  <c r="X17" i="9"/>
  <c r="W17" i="9"/>
  <c r="V17" i="9"/>
  <c r="U17" i="9"/>
  <c r="T17" i="9"/>
  <c r="AA16" i="9"/>
  <c r="Z16" i="9"/>
  <c r="Y16" i="9"/>
  <c r="X16" i="9"/>
  <c r="W16" i="9"/>
  <c r="V16" i="9"/>
  <c r="U16" i="9"/>
  <c r="T16" i="9"/>
  <c r="AA15" i="9"/>
  <c r="Z15" i="9"/>
  <c r="Y15" i="9"/>
  <c r="X15" i="9"/>
  <c r="W15" i="9"/>
  <c r="V15" i="9"/>
  <c r="U15" i="9"/>
  <c r="T15" i="9"/>
  <c r="AA14" i="9"/>
  <c r="Z14" i="9"/>
  <c r="Y14" i="9"/>
  <c r="X14" i="9"/>
  <c r="W14" i="9"/>
  <c r="V14" i="9"/>
  <c r="U14" i="9"/>
  <c r="T14" i="9"/>
  <c r="AA19" i="8"/>
  <c r="Z19" i="8"/>
  <c r="Y19" i="8"/>
  <c r="X19" i="8"/>
  <c r="W19" i="8"/>
  <c r="V19" i="8"/>
  <c r="U19" i="8"/>
  <c r="T19" i="8"/>
  <c r="AA18" i="8"/>
  <c r="Z18" i="8"/>
  <c r="Y18" i="8"/>
  <c r="X18" i="8"/>
  <c r="W18" i="8"/>
  <c r="V18" i="8"/>
  <c r="U18" i="8"/>
  <c r="T18" i="8"/>
  <c r="AA17" i="8"/>
  <c r="Z17" i="8"/>
  <c r="Y17" i="8"/>
  <c r="X17" i="8"/>
  <c r="W17" i="8"/>
  <c r="V17" i="8"/>
  <c r="U17" i="8"/>
  <c r="T17" i="8"/>
  <c r="AA16" i="8"/>
  <c r="Z16" i="8"/>
  <c r="Y16" i="8"/>
  <c r="X16" i="8"/>
  <c r="W16" i="8"/>
  <c r="V16" i="8"/>
  <c r="U16" i="8"/>
  <c r="T16" i="8"/>
  <c r="AA15" i="8"/>
  <c r="Z15" i="8"/>
  <c r="Y15" i="8"/>
  <c r="X15" i="8"/>
  <c r="W15" i="8"/>
  <c r="V15" i="8"/>
  <c r="U15" i="8"/>
  <c r="T15" i="8"/>
  <c r="AA14" i="8"/>
  <c r="Z14" i="8"/>
  <c r="Y14" i="8"/>
  <c r="X14" i="8"/>
  <c r="W14" i="8"/>
  <c r="V14" i="8"/>
  <c r="U14" i="8"/>
  <c r="T14" i="8"/>
  <c r="AA19" i="7"/>
  <c r="Z19" i="7"/>
  <c r="Y19" i="7"/>
  <c r="X19" i="7"/>
  <c r="W19" i="7"/>
  <c r="V19" i="7"/>
  <c r="U19" i="7"/>
  <c r="T19" i="7"/>
  <c r="AA18" i="7"/>
  <c r="Z18" i="7"/>
  <c r="Y18" i="7"/>
  <c r="X18" i="7"/>
  <c r="W18" i="7"/>
  <c r="V18" i="7"/>
  <c r="U18" i="7"/>
  <c r="T18" i="7"/>
  <c r="AA17" i="7"/>
  <c r="Z17" i="7"/>
  <c r="Y17" i="7"/>
  <c r="X17" i="7"/>
  <c r="W17" i="7"/>
  <c r="V17" i="7"/>
  <c r="U17" i="7"/>
  <c r="T17" i="7"/>
  <c r="AA16" i="7"/>
  <c r="Z16" i="7"/>
  <c r="Y16" i="7"/>
  <c r="X16" i="7"/>
  <c r="W16" i="7"/>
  <c r="V16" i="7"/>
  <c r="U16" i="7"/>
  <c r="T16" i="7"/>
  <c r="AA15" i="7"/>
  <c r="Z15" i="7"/>
  <c r="Y15" i="7"/>
  <c r="X15" i="7"/>
  <c r="W15" i="7"/>
  <c r="V15" i="7"/>
  <c r="U15" i="7"/>
  <c r="T15" i="7"/>
  <c r="AA14" i="7"/>
  <c r="Z14" i="7"/>
  <c r="Y14" i="7"/>
  <c r="X14" i="7"/>
  <c r="W14" i="7"/>
  <c r="V14" i="7"/>
  <c r="U14" i="7"/>
  <c r="T14" i="7"/>
  <c r="T15" i="6"/>
  <c r="U15" i="6"/>
  <c r="V15" i="6"/>
  <c r="W15" i="6"/>
  <c r="X15" i="6"/>
  <c r="Y15" i="6"/>
  <c r="Z15" i="6"/>
  <c r="AA15" i="6"/>
  <c r="T16" i="6"/>
  <c r="U16" i="6"/>
  <c r="V16" i="6"/>
  <c r="W16" i="6"/>
  <c r="X16" i="6"/>
  <c r="Y16" i="6"/>
  <c r="Z16" i="6"/>
  <c r="AA16" i="6"/>
  <c r="T17" i="6"/>
  <c r="U17" i="6"/>
  <c r="V17" i="6"/>
  <c r="W17" i="6"/>
  <c r="X17" i="6"/>
  <c r="Y17" i="6"/>
  <c r="Z17" i="6"/>
  <c r="AA17" i="6"/>
  <c r="T18" i="6"/>
  <c r="U18" i="6"/>
  <c r="V18" i="6"/>
  <c r="W18" i="6"/>
  <c r="X18" i="6"/>
  <c r="Y18" i="6"/>
  <c r="Z18" i="6"/>
  <c r="AA18" i="6"/>
  <c r="T19" i="6"/>
  <c r="U19" i="6"/>
  <c r="V19" i="6"/>
  <c r="W19" i="6"/>
  <c r="X19" i="6"/>
  <c r="Y19" i="6"/>
  <c r="Z19" i="6"/>
  <c r="AA19" i="6"/>
  <c r="U14" i="6"/>
  <c r="V14" i="6"/>
  <c r="W14" i="6"/>
  <c r="X14" i="6"/>
  <c r="Y14" i="6"/>
  <c r="Z14" i="6"/>
  <c r="AA14" i="6"/>
  <c r="T14" i="6"/>
  <c r="U8" i="56"/>
  <c r="T8" i="56"/>
  <c r="AA8" i="66"/>
  <c r="Z8" i="66"/>
  <c r="Y8" i="66"/>
  <c r="X8" i="66"/>
  <c r="W8" i="66"/>
  <c r="V8" i="66"/>
  <c r="U8" i="66"/>
  <c r="T8" i="66"/>
  <c r="AA7" i="66"/>
  <c r="Z7" i="66"/>
  <c r="Y7" i="66"/>
  <c r="X7" i="66"/>
  <c r="W7" i="66"/>
  <c r="V7" i="66"/>
  <c r="U7" i="66"/>
  <c r="T7" i="66"/>
  <c r="AA6" i="66"/>
  <c r="Z6" i="66"/>
  <c r="Y6" i="66"/>
  <c r="X6" i="66"/>
  <c r="W6" i="66"/>
  <c r="V6" i="66"/>
  <c r="U6" i="66"/>
  <c r="T6" i="66"/>
  <c r="AA5" i="66"/>
  <c r="Z5" i="66"/>
  <c r="Y5" i="66"/>
  <c r="X5" i="66"/>
  <c r="W5" i="66"/>
  <c r="V5" i="66"/>
  <c r="U5" i="66"/>
  <c r="T5" i="66"/>
  <c r="AA4" i="66"/>
  <c r="Z4" i="66"/>
  <c r="Y4" i="66"/>
  <c r="X4" i="66"/>
  <c r="W4" i="66"/>
  <c r="V4" i="66"/>
  <c r="U4" i="66"/>
  <c r="T4" i="66"/>
  <c r="AA3" i="66"/>
  <c r="Z3" i="66"/>
  <c r="Y3" i="66"/>
  <c r="X3" i="66"/>
  <c r="W3" i="66"/>
  <c r="V3" i="66"/>
  <c r="U3" i="66"/>
  <c r="T3" i="66"/>
  <c r="AA8" i="65"/>
  <c r="Z8" i="65"/>
  <c r="Y8" i="65"/>
  <c r="X8" i="65"/>
  <c r="W8" i="65"/>
  <c r="V8" i="65"/>
  <c r="U8" i="65"/>
  <c r="T8" i="65"/>
  <c r="AA7" i="65"/>
  <c r="Z7" i="65"/>
  <c r="Y7" i="65"/>
  <c r="X7" i="65"/>
  <c r="W7" i="65"/>
  <c r="V7" i="65"/>
  <c r="U7" i="65"/>
  <c r="T7" i="65"/>
  <c r="AA6" i="65"/>
  <c r="Z6" i="65"/>
  <c r="Y6" i="65"/>
  <c r="X6" i="65"/>
  <c r="W6" i="65"/>
  <c r="V6" i="65"/>
  <c r="U6" i="65"/>
  <c r="T6" i="65"/>
  <c r="AA5" i="65"/>
  <c r="Z5" i="65"/>
  <c r="Y5" i="65"/>
  <c r="X5" i="65"/>
  <c r="W5" i="65"/>
  <c r="V5" i="65"/>
  <c r="U5" i="65"/>
  <c r="T5" i="65"/>
  <c r="AA4" i="65"/>
  <c r="Z4" i="65"/>
  <c r="Y4" i="65"/>
  <c r="X4" i="65"/>
  <c r="W4" i="65"/>
  <c r="V4" i="65"/>
  <c r="U4" i="65"/>
  <c r="T4" i="65"/>
  <c r="AA3" i="65"/>
  <c r="Z3" i="65"/>
  <c r="Y3" i="65"/>
  <c r="X3" i="65"/>
  <c r="W3" i="65"/>
  <c r="V3" i="65"/>
  <c r="U3" i="65"/>
  <c r="T3" i="65"/>
  <c r="AA8" i="64"/>
  <c r="Z8" i="64"/>
  <c r="Y8" i="64"/>
  <c r="X8" i="64"/>
  <c r="W8" i="64"/>
  <c r="V8" i="64"/>
  <c r="U8" i="64"/>
  <c r="T8" i="64"/>
  <c r="AA7" i="64"/>
  <c r="Z7" i="64"/>
  <c r="Y7" i="64"/>
  <c r="X7" i="64"/>
  <c r="W7" i="64"/>
  <c r="V7" i="64"/>
  <c r="U7" i="64"/>
  <c r="T7" i="64"/>
  <c r="AA6" i="64"/>
  <c r="Z6" i="64"/>
  <c r="Y6" i="64"/>
  <c r="X6" i="64"/>
  <c r="W6" i="64"/>
  <c r="V6" i="64"/>
  <c r="U6" i="64"/>
  <c r="T6" i="64"/>
  <c r="AA5" i="64"/>
  <c r="Z5" i="64"/>
  <c r="Y5" i="64"/>
  <c r="X5" i="64"/>
  <c r="W5" i="64"/>
  <c r="V5" i="64"/>
  <c r="U5" i="64"/>
  <c r="T5" i="64"/>
  <c r="AA4" i="64"/>
  <c r="Z4" i="64"/>
  <c r="Y4" i="64"/>
  <c r="X4" i="64"/>
  <c r="W4" i="64"/>
  <c r="V4" i="64"/>
  <c r="U4" i="64"/>
  <c r="T4" i="64"/>
  <c r="AA3" i="64"/>
  <c r="Z3" i="64"/>
  <c r="Y3" i="64"/>
  <c r="X3" i="64"/>
  <c r="W3" i="64"/>
  <c r="V3" i="64"/>
  <c r="U3" i="64"/>
  <c r="T3" i="64"/>
  <c r="AA8" i="63"/>
  <c r="Z8" i="63"/>
  <c r="Y8" i="63"/>
  <c r="X8" i="63"/>
  <c r="W8" i="63"/>
  <c r="V8" i="63"/>
  <c r="U8" i="63"/>
  <c r="T8" i="63"/>
  <c r="AA7" i="63"/>
  <c r="Z7" i="63"/>
  <c r="Y7" i="63"/>
  <c r="X7" i="63"/>
  <c r="W7" i="63"/>
  <c r="V7" i="63"/>
  <c r="U7" i="63"/>
  <c r="T7" i="63"/>
  <c r="AA6" i="63"/>
  <c r="Z6" i="63"/>
  <c r="Y6" i="63"/>
  <c r="X6" i="63"/>
  <c r="W6" i="63"/>
  <c r="V6" i="63"/>
  <c r="U6" i="63"/>
  <c r="T6" i="63"/>
  <c r="AA5" i="63"/>
  <c r="Z5" i="63"/>
  <c r="Y5" i="63"/>
  <c r="X5" i="63"/>
  <c r="W5" i="63"/>
  <c r="V5" i="63"/>
  <c r="U5" i="63"/>
  <c r="T5" i="63"/>
  <c r="AA4" i="63"/>
  <c r="Z4" i="63"/>
  <c r="Y4" i="63"/>
  <c r="X4" i="63"/>
  <c r="W4" i="63"/>
  <c r="V4" i="63"/>
  <c r="U4" i="63"/>
  <c r="T4" i="63"/>
  <c r="AA3" i="63"/>
  <c r="Z3" i="63"/>
  <c r="Y3" i="63"/>
  <c r="X3" i="63"/>
  <c r="W3" i="63"/>
  <c r="V3" i="63"/>
  <c r="U3" i="63"/>
  <c r="T3" i="63"/>
  <c r="AA8" i="61"/>
  <c r="Z8" i="61"/>
  <c r="Y8" i="61"/>
  <c r="X8" i="61"/>
  <c r="W8" i="61"/>
  <c r="V8" i="61"/>
  <c r="U8" i="61"/>
  <c r="T8" i="61"/>
  <c r="AA7" i="61"/>
  <c r="Z7" i="61"/>
  <c r="Y7" i="61"/>
  <c r="X7" i="61"/>
  <c r="W7" i="61"/>
  <c r="V7" i="61"/>
  <c r="U7" i="61"/>
  <c r="T7" i="61"/>
  <c r="AA6" i="61"/>
  <c r="Z6" i="61"/>
  <c r="Y6" i="61"/>
  <c r="X6" i="61"/>
  <c r="W6" i="61"/>
  <c r="V6" i="61"/>
  <c r="U6" i="61"/>
  <c r="T6" i="61"/>
  <c r="AA5" i="61"/>
  <c r="Z5" i="61"/>
  <c r="Y5" i="61"/>
  <c r="X5" i="61"/>
  <c r="W5" i="61"/>
  <c r="V5" i="61"/>
  <c r="U5" i="61"/>
  <c r="T5" i="61"/>
  <c r="AA4" i="61"/>
  <c r="Z4" i="61"/>
  <c r="Y4" i="61"/>
  <c r="X4" i="61"/>
  <c r="W4" i="61"/>
  <c r="V4" i="61"/>
  <c r="U4" i="61"/>
  <c r="T4" i="61"/>
  <c r="AA3" i="61"/>
  <c r="Z3" i="61"/>
  <c r="Y3" i="61"/>
  <c r="X3" i="61"/>
  <c r="W3" i="61"/>
  <c r="V3" i="61"/>
  <c r="U3" i="61"/>
  <c r="T3" i="61"/>
  <c r="AA8" i="60"/>
  <c r="Z8" i="60"/>
  <c r="Y8" i="60"/>
  <c r="X8" i="60"/>
  <c r="W8" i="60"/>
  <c r="V8" i="60"/>
  <c r="U8" i="60"/>
  <c r="T8" i="60"/>
  <c r="AA7" i="60"/>
  <c r="Z7" i="60"/>
  <c r="Y7" i="60"/>
  <c r="X7" i="60"/>
  <c r="W7" i="60"/>
  <c r="V7" i="60"/>
  <c r="U7" i="60"/>
  <c r="T7" i="60"/>
  <c r="AA6" i="60"/>
  <c r="Z6" i="60"/>
  <c r="Y6" i="60"/>
  <c r="X6" i="60"/>
  <c r="W6" i="60"/>
  <c r="V6" i="60"/>
  <c r="U6" i="60"/>
  <c r="T6" i="60"/>
  <c r="AA5" i="60"/>
  <c r="Z5" i="60"/>
  <c r="Y5" i="60"/>
  <c r="X5" i="60"/>
  <c r="W5" i="60"/>
  <c r="V5" i="60"/>
  <c r="U5" i="60"/>
  <c r="T5" i="60"/>
  <c r="AA4" i="60"/>
  <c r="Z4" i="60"/>
  <c r="Y4" i="60"/>
  <c r="X4" i="60"/>
  <c r="W4" i="60"/>
  <c r="V4" i="60"/>
  <c r="U4" i="60"/>
  <c r="T4" i="60"/>
  <c r="AA3" i="60"/>
  <c r="Z3" i="60"/>
  <c r="Y3" i="60"/>
  <c r="X3" i="60"/>
  <c r="W3" i="60"/>
  <c r="V3" i="60"/>
  <c r="U3" i="60"/>
  <c r="T3" i="60"/>
  <c r="AA8" i="58"/>
  <c r="Z8" i="58"/>
  <c r="Y8" i="58"/>
  <c r="X8" i="58"/>
  <c r="W8" i="58"/>
  <c r="V8" i="58"/>
  <c r="U8" i="58"/>
  <c r="T8" i="58"/>
  <c r="AA7" i="58"/>
  <c r="Z7" i="58"/>
  <c r="Y7" i="58"/>
  <c r="X7" i="58"/>
  <c r="W7" i="58"/>
  <c r="V7" i="58"/>
  <c r="U7" i="58"/>
  <c r="T7" i="58"/>
  <c r="AA6" i="58"/>
  <c r="Z6" i="58"/>
  <c r="Y6" i="58"/>
  <c r="X6" i="58"/>
  <c r="W6" i="58"/>
  <c r="V6" i="58"/>
  <c r="U6" i="58"/>
  <c r="T6" i="58"/>
  <c r="AA5" i="58"/>
  <c r="Z5" i="58"/>
  <c r="Y5" i="58"/>
  <c r="X5" i="58"/>
  <c r="W5" i="58"/>
  <c r="V5" i="58"/>
  <c r="U5" i="58"/>
  <c r="T5" i="58"/>
  <c r="AA4" i="58"/>
  <c r="Z4" i="58"/>
  <c r="Y4" i="58"/>
  <c r="X4" i="58"/>
  <c r="W4" i="58"/>
  <c r="V4" i="58"/>
  <c r="U4" i="58"/>
  <c r="T4" i="58"/>
  <c r="AA3" i="58"/>
  <c r="Z3" i="58"/>
  <c r="Y3" i="58"/>
  <c r="X3" i="58"/>
  <c r="W3" i="58"/>
  <c r="V3" i="58"/>
  <c r="U3" i="58"/>
  <c r="T3" i="58"/>
  <c r="AA8" i="57"/>
  <c r="Z8" i="57"/>
  <c r="Y8" i="57"/>
  <c r="X8" i="57"/>
  <c r="W8" i="57"/>
  <c r="V8" i="57"/>
  <c r="U8" i="57"/>
  <c r="T8" i="57"/>
  <c r="AA7" i="57"/>
  <c r="Z7" i="57"/>
  <c r="Y7" i="57"/>
  <c r="X7" i="57"/>
  <c r="W7" i="57"/>
  <c r="V7" i="57"/>
  <c r="U7" i="57"/>
  <c r="T7" i="57"/>
  <c r="AA6" i="57"/>
  <c r="Z6" i="57"/>
  <c r="Y6" i="57"/>
  <c r="X6" i="57"/>
  <c r="W6" i="57"/>
  <c r="V6" i="57"/>
  <c r="U6" i="57"/>
  <c r="T6" i="57"/>
  <c r="AA5" i="57"/>
  <c r="Z5" i="57"/>
  <c r="Y5" i="57"/>
  <c r="X5" i="57"/>
  <c r="W5" i="57"/>
  <c r="V5" i="57"/>
  <c r="U5" i="57"/>
  <c r="T5" i="57"/>
  <c r="AA4" i="57"/>
  <c r="Z4" i="57"/>
  <c r="Y4" i="57"/>
  <c r="X4" i="57"/>
  <c r="W4" i="57"/>
  <c r="V4" i="57"/>
  <c r="U4" i="57"/>
  <c r="T4" i="57"/>
  <c r="AA3" i="57"/>
  <c r="Z3" i="57"/>
  <c r="Y3" i="57"/>
  <c r="X3" i="57"/>
  <c r="W3" i="57"/>
  <c r="V3" i="57"/>
  <c r="U3" i="57"/>
  <c r="T3" i="57"/>
  <c r="AA8" i="56"/>
  <c r="Z8" i="56"/>
  <c r="Y8" i="56"/>
  <c r="X8" i="56"/>
  <c r="W8" i="56"/>
  <c r="V8" i="56"/>
  <c r="AA7" i="56"/>
  <c r="Z7" i="56"/>
  <c r="Y7" i="56"/>
  <c r="X7" i="56"/>
  <c r="W7" i="56"/>
  <c r="V7" i="56"/>
  <c r="U7" i="56"/>
  <c r="T7" i="56"/>
  <c r="AA6" i="56"/>
  <c r="Z6" i="56"/>
  <c r="Y6" i="56"/>
  <c r="X6" i="56"/>
  <c r="W6" i="56"/>
  <c r="V6" i="56"/>
  <c r="U6" i="56"/>
  <c r="T6" i="56"/>
  <c r="AA5" i="56"/>
  <c r="Z5" i="56"/>
  <c r="Y5" i="56"/>
  <c r="X5" i="56"/>
  <c r="W5" i="56"/>
  <c r="V5" i="56"/>
  <c r="U5" i="56"/>
  <c r="T5" i="56"/>
  <c r="AA4" i="56"/>
  <c r="Z4" i="56"/>
  <c r="Y4" i="56"/>
  <c r="X4" i="56"/>
  <c r="W4" i="56"/>
  <c r="V4" i="56"/>
  <c r="U4" i="56"/>
  <c r="T4" i="56"/>
  <c r="AA3" i="56"/>
  <c r="Z3" i="56"/>
  <c r="Y3" i="56"/>
  <c r="X3" i="56"/>
  <c r="W3" i="56"/>
  <c r="V3" i="56"/>
  <c r="U3" i="56"/>
  <c r="T3" i="56"/>
  <c r="AA8" i="55"/>
  <c r="Z8" i="55"/>
  <c r="Y8" i="55"/>
  <c r="X8" i="55"/>
  <c r="W8" i="55"/>
  <c r="V8" i="55"/>
  <c r="U8" i="55"/>
  <c r="T8" i="55"/>
  <c r="AA7" i="55"/>
  <c r="Z7" i="55"/>
  <c r="Y7" i="55"/>
  <c r="X7" i="55"/>
  <c r="W7" i="55"/>
  <c r="V7" i="55"/>
  <c r="U7" i="55"/>
  <c r="T7" i="55"/>
  <c r="AA6" i="55"/>
  <c r="Z6" i="55"/>
  <c r="Y6" i="55"/>
  <c r="X6" i="55"/>
  <c r="W6" i="55"/>
  <c r="V6" i="55"/>
  <c r="U6" i="55"/>
  <c r="T6" i="55"/>
  <c r="AA5" i="55"/>
  <c r="Z5" i="55"/>
  <c r="Y5" i="55"/>
  <c r="X5" i="55"/>
  <c r="W5" i="55"/>
  <c r="V5" i="55"/>
  <c r="U5" i="55"/>
  <c r="T5" i="55"/>
  <c r="AA4" i="55"/>
  <c r="Z4" i="55"/>
  <c r="Y4" i="55"/>
  <c r="X4" i="55"/>
  <c r="W4" i="55"/>
  <c r="V4" i="55"/>
  <c r="U4" i="55"/>
  <c r="T4" i="55"/>
  <c r="AA3" i="55"/>
  <c r="Z3" i="55"/>
  <c r="Y3" i="55"/>
  <c r="X3" i="55"/>
  <c r="W3" i="55"/>
  <c r="V3" i="55"/>
  <c r="U3" i="55"/>
  <c r="T3" i="55"/>
  <c r="AA8" i="54"/>
  <c r="Z8" i="54"/>
  <c r="Y8" i="54"/>
  <c r="X8" i="54"/>
  <c r="W8" i="54"/>
  <c r="V8" i="54"/>
  <c r="U8" i="54"/>
  <c r="T8" i="54"/>
  <c r="AA7" i="54"/>
  <c r="Z7" i="54"/>
  <c r="Y7" i="54"/>
  <c r="X7" i="54"/>
  <c r="W7" i="54"/>
  <c r="V7" i="54"/>
  <c r="U7" i="54"/>
  <c r="T7" i="54"/>
  <c r="AA6" i="54"/>
  <c r="Z6" i="54"/>
  <c r="Y6" i="54"/>
  <c r="X6" i="54"/>
  <c r="W6" i="54"/>
  <c r="V6" i="54"/>
  <c r="U6" i="54"/>
  <c r="T6" i="54"/>
  <c r="AA5" i="54"/>
  <c r="Z5" i="54"/>
  <c r="Y5" i="54"/>
  <c r="X5" i="54"/>
  <c r="W5" i="54"/>
  <c r="V5" i="54"/>
  <c r="U5" i="54"/>
  <c r="T5" i="54"/>
  <c r="AA4" i="54"/>
  <c r="Z4" i="54"/>
  <c r="Y4" i="54"/>
  <c r="X4" i="54"/>
  <c r="W4" i="54"/>
  <c r="V4" i="54"/>
  <c r="U4" i="54"/>
  <c r="T4" i="54"/>
  <c r="AA3" i="54"/>
  <c r="Z3" i="54"/>
  <c r="Y3" i="54"/>
  <c r="X3" i="54"/>
  <c r="W3" i="54"/>
  <c r="V3" i="54"/>
  <c r="U3" i="54"/>
  <c r="T3" i="54"/>
  <c r="AA8" i="53"/>
  <c r="Z8" i="53"/>
  <c r="Y8" i="53"/>
  <c r="X8" i="53"/>
  <c r="W8" i="53"/>
  <c r="V8" i="53"/>
  <c r="U8" i="53"/>
  <c r="T8" i="53"/>
  <c r="AA7" i="53"/>
  <c r="Z7" i="53"/>
  <c r="Y7" i="53"/>
  <c r="X7" i="53"/>
  <c r="W7" i="53"/>
  <c r="V7" i="53"/>
  <c r="U7" i="53"/>
  <c r="T7" i="53"/>
  <c r="AA6" i="53"/>
  <c r="Z6" i="53"/>
  <c r="Y6" i="53"/>
  <c r="X6" i="53"/>
  <c r="W6" i="53"/>
  <c r="V6" i="53"/>
  <c r="U6" i="53"/>
  <c r="T6" i="53"/>
  <c r="AA5" i="53"/>
  <c r="Z5" i="53"/>
  <c r="Y5" i="53"/>
  <c r="X5" i="53"/>
  <c r="W5" i="53"/>
  <c r="V5" i="53"/>
  <c r="U5" i="53"/>
  <c r="T5" i="53"/>
  <c r="AA4" i="53"/>
  <c r="Z4" i="53"/>
  <c r="Y4" i="53"/>
  <c r="X4" i="53"/>
  <c r="W4" i="53"/>
  <c r="V4" i="53"/>
  <c r="U4" i="53"/>
  <c r="T4" i="53"/>
  <c r="AA3" i="53"/>
  <c r="Z3" i="53"/>
  <c r="Y3" i="53"/>
  <c r="X3" i="53"/>
  <c r="W3" i="53"/>
  <c r="V3" i="53"/>
  <c r="U3" i="53"/>
  <c r="T3" i="53"/>
  <c r="AA8" i="52"/>
  <c r="Z8" i="52"/>
  <c r="Y8" i="52"/>
  <c r="X8" i="52"/>
  <c r="W8" i="52"/>
  <c r="V8" i="52"/>
  <c r="U8" i="52"/>
  <c r="T8" i="52"/>
  <c r="AA7" i="52"/>
  <c r="Z7" i="52"/>
  <c r="Y7" i="52"/>
  <c r="X7" i="52"/>
  <c r="W7" i="52"/>
  <c r="V7" i="52"/>
  <c r="U7" i="52"/>
  <c r="T7" i="52"/>
  <c r="AA6" i="52"/>
  <c r="Z6" i="52"/>
  <c r="Y6" i="52"/>
  <c r="X6" i="52"/>
  <c r="W6" i="52"/>
  <c r="V6" i="52"/>
  <c r="U6" i="52"/>
  <c r="T6" i="52"/>
  <c r="AA5" i="52"/>
  <c r="Z5" i="52"/>
  <c r="Y5" i="52"/>
  <c r="X5" i="52"/>
  <c r="W5" i="52"/>
  <c r="V5" i="52"/>
  <c r="U5" i="52"/>
  <c r="T5" i="52"/>
  <c r="AA4" i="52"/>
  <c r="Z4" i="52"/>
  <c r="Y4" i="52"/>
  <c r="X4" i="52"/>
  <c r="W4" i="52"/>
  <c r="V4" i="52"/>
  <c r="U4" i="52"/>
  <c r="T4" i="52"/>
  <c r="AA3" i="52"/>
  <c r="Z3" i="52"/>
  <c r="Y3" i="52"/>
  <c r="X3" i="52"/>
  <c r="W3" i="52"/>
  <c r="V3" i="52"/>
  <c r="U3" i="52"/>
  <c r="T3" i="52"/>
  <c r="AA8" i="51"/>
  <c r="Z8" i="51"/>
  <c r="Y8" i="51"/>
  <c r="X8" i="51"/>
  <c r="W8" i="51"/>
  <c r="V8" i="51"/>
  <c r="U8" i="51"/>
  <c r="T8" i="51"/>
  <c r="AA7" i="51"/>
  <c r="Z7" i="51"/>
  <c r="Y7" i="51"/>
  <c r="X7" i="51"/>
  <c r="W7" i="51"/>
  <c r="V7" i="51"/>
  <c r="U7" i="51"/>
  <c r="T7" i="51"/>
  <c r="AA6" i="51"/>
  <c r="Z6" i="51"/>
  <c r="Y6" i="51"/>
  <c r="X6" i="51"/>
  <c r="W6" i="51"/>
  <c r="V6" i="51"/>
  <c r="U6" i="51"/>
  <c r="T6" i="51"/>
  <c r="AA5" i="51"/>
  <c r="Z5" i="51"/>
  <c r="Y5" i="51"/>
  <c r="X5" i="51"/>
  <c r="W5" i="51"/>
  <c r="V5" i="51"/>
  <c r="U5" i="51"/>
  <c r="T5" i="51"/>
  <c r="AA4" i="51"/>
  <c r="Z4" i="51"/>
  <c r="Y4" i="51"/>
  <c r="X4" i="51"/>
  <c r="W4" i="51"/>
  <c r="V4" i="51"/>
  <c r="U4" i="51"/>
  <c r="T4" i="51"/>
  <c r="AA3" i="51"/>
  <c r="Z3" i="51"/>
  <c r="Y3" i="51"/>
  <c r="X3" i="51"/>
  <c r="W3" i="51"/>
  <c r="V3" i="51"/>
  <c r="U3" i="51"/>
  <c r="T3" i="51"/>
  <c r="AA8" i="50"/>
  <c r="Z8" i="50"/>
  <c r="Y8" i="50"/>
  <c r="X8" i="50"/>
  <c r="W8" i="50"/>
  <c r="V8" i="50"/>
  <c r="U8" i="50"/>
  <c r="T8" i="50"/>
  <c r="AA7" i="50"/>
  <c r="Z7" i="50"/>
  <c r="Y7" i="50"/>
  <c r="X7" i="50"/>
  <c r="W7" i="50"/>
  <c r="V7" i="50"/>
  <c r="U7" i="50"/>
  <c r="T7" i="50"/>
  <c r="AA6" i="50"/>
  <c r="Z6" i="50"/>
  <c r="Y6" i="50"/>
  <c r="X6" i="50"/>
  <c r="W6" i="50"/>
  <c r="V6" i="50"/>
  <c r="U6" i="50"/>
  <c r="T6" i="50"/>
  <c r="AA5" i="50"/>
  <c r="Z5" i="50"/>
  <c r="Y5" i="50"/>
  <c r="X5" i="50"/>
  <c r="W5" i="50"/>
  <c r="V5" i="50"/>
  <c r="U5" i="50"/>
  <c r="T5" i="50"/>
  <c r="AA4" i="50"/>
  <c r="Z4" i="50"/>
  <c r="Y4" i="50"/>
  <c r="X4" i="50"/>
  <c r="W4" i="50"/>
  <c r="V4" i="50"/>
  <c r="U4" i="50"/>
  <c r="T4" i="50"/>
  <c r="AA3" i="50"/>
  <c r="Z3" i="50"/>
  <c r="Y3" i="50"/>
  <c r="X3" i="50"/>
  <c r="W3" i="50"/>
  <c r="V3" i="50"/>
  <c r="U3" i="50"/>
  <c r="T3" i="50"/>
  <c r="AA8" i="49"/>
  <c r="Z8" i="49"/>
  <c r="Y8" i="49"/>
  <c r="X8" i="49"/>
  <c r="W8" i="49"/>
  <c r="V8" i="49"/>
  <c r="U8" i="49"/>
  <c r="T8" i="49"/>
  <c r="AA7" i="49"/>
  <c r="Z7" i="49"/>
  <c r="Y7" i="49"/>
  <c r="X7" i="49"/>
  <c r="W7" i="49"/>
  <c r="V7" i="49"/>
  <c r="U7" i="49"/>
  <c r="T7" i="49"/>
  <c r="AA6" i="49"/>
  <c r="Z6" i="49"/>
  <c r="Y6" i="49"/>
  <c r="X6" i="49"/>
  <c r="W6" i="49"/>
  <c r="V6" i="49"/>
  <c r="U6" i="49"/>
  <c r="T6" i="49"/>
  <c r="AA5" i="49"/>
  <c r="Z5" i="49"/>
  <c r="Y5" i="49"/>
  <c r="X5" i="49"/>
  <c r="W5" i="49"/>
  <c r="V5" i="49"/>
  <c r="U5" i="49"/>
  <c r="T5" i="49"/>
  <c r="AA4" i="49"/>
  <c r="Z4" i="49"/>
  <c r="Y4" i="49"/>
  <c r="X4" i="49"/>
  <c r="W4" i="49"/>
  <c r="V4" i="49"/>
  <c r="U4" i="49"/>
  <c r="T4" i="49"/>
  <c r="AA3" i="49"/>
  <c r="Z3" i="49"/>
  <c r="Y3" i="49"/>
  <c r="X3" i="49"/>
  <c r="W3" i="49"/>
  <c r="V3" i="49"/>
  <c r="U3" i="49"/>
  <c r="T3" i="49"/>
  <c r="AA8" i="48"/>
  <c r="Z8" i="48"/>
  <c r="Y8" i="48"/>
  <c r="X8" i="48"/>
  <c r="W8" i="48"/>
  <c r="V8" i="48"/>
  <c r="U8" i="48"/>
  <c r="T8" i="48"/>
  <c r="AA7" i="48"/>
  <c r="Z7" i="48"/>
  <c r="Y7" i="48"/>
  <c r="X7" i="48"/>
  <c r="W7" i="48"/>
  <c r="V7" i="48"/>
  <c r="U7" i="48"/>
  <c r="T7" i="48"/>
  <c r="AA6" i="48"/>
  <c r="Z6" i="48"/>
  <c r="Y6" i="48"/>
  <c r="X6" i="48"/>
  <c r="W6" i="48"/>
  <c r="V6" i="48"/>
  <c r="U6" i="48"/>
  <c r="T6" i="48"/>
  <c r="AA5" i="48"/>
  <c r="Z5" i="48"/>
  <c r="Y5" i="48"/>
  <c r="X5" i="48"/>
  <c r="W5" i="48"/>
  <c r="V5" i="48"/>
  <c r="U5" i="48"/>
  <c r="T5" i="48"/>
  <c r="AA4" i="48"/>
  <c r="Z4" i="48"/>
  <c r="Y4" i="48"/>
  <c r="X4" i="48"/>
  <c r="W4" i="48"/>
  <c r="V4" i="48"/>
  <c r="U4" i="48"/>
  <c r="T4" i="48"/>
  <c r="AA3" i="48"/>
  <c r="Z3" i="48"/>
  <c r="Y3" i="48"/>
  <c r="X3" i="48"/>
  <c r="W3" i="48"/>
  <c r="V3" i="48"/>
  <c r="U3" i="48"/>
  <c r="T3" i="48"/>
  <c r="AA8" i="47"/>
  <c r="Z8" i="47"/>
  <c r="Y8" i="47"/>
  <c r="X8" i="47"/>
  <c r="W8" i="47"/>
  <c r="V8" i="47"/>
  <c r="U8" i="47"/>
  <c r="T8" i="47"/>
  <c r="AA7" i="47"/>
  <c r="Z7" i="47"/>
  <c r="Y7" i="47"/>
  <c r="X7" i="47"/>
  <c r="W7" i="47"/>
  <c r="V7" i="47"/>
  <c r="U7" i="47"/>
  <c r="T7" i="47"/>
  <c r="AA6" i="47"/>
  <c r="Z6" i="47"/>
  <c r="Y6" i="47"/>
  <c r="X6" i="47"/>
  <c r="W6" i="47"/>
  <c r="V6" i="47"/>
  <c r="U6" i="47"/>
  <c r="T6" i="47"/>
  <c r="AA5" i="47"/>
  <c r="Z5" i="47"/>
  <c r="Y5" i="47"/>
  <c r="X5" i="47"/>
  <c r="W5" i="47"/>
  <c r="V5" i="47"/>
  <c r="U5" i="47"/>
  <c r="T5" i="47"/>
  <c r="AA4" i="47"/>
  <c r="Z4" i="47"/>
  <c r="Y4" i="47"/>
  <c r="X4" i="47"/>
  <c r="W4" i="47"/>
  <c r="V4" i="47"/>
  <c r="U4" i="47"/>
  <c r="T4" i="47"/>
  <c r="AA3" i="47"/>
  <c r="Z3" i="47"/>
  <c r="Y3" i="47"/>
  <c r="X3" i="47"/>
  <c r="W3" i="47"/>
  <c r="V3" i="47"/>
  <c r="U3" i="47"/>
  <c r="T3" i="47"/>
  <c r="AA8" i="46"/>
  <c r="Z8" i="46"/>
  <c r="Y8" i="46"/>
  <c r="X8" i="46"/>
  <c r="W8" i="46"/>
  <c r="V8" i="46"/>
  <c r="U8" i="46"/>
  <c r="T8" i="46"/>
  <c r="AA7" i="46"/>
  <c r="Z7" i="46"/>
  <c r="Y7" i="46"/>
  <c r="X7" i="46"/>
  <c r="W7" i="46"/>
  <c r="V7" i="46"/>
  <c r="U7" i="46"/>
  <c r="T7" i="46"/>
  <c r="AA6" i="46"/>
  <c r="Z6" i="46"/>
  <c r="Y6" i="46"/>
  <c r="X6" i="46"/>
  <c r="W6" i="46"/>
  <c r="V6" i="46"/>
  <c r="U6" i="46"/>
  <c r="T6" i="46"/>
  <c r="AA5" i="46"/>
  <c r="Z5" i="46"/>
  <c r="Y5" i="46"/>
  <c r="X5" i="46"/>
  <c r="W5" i="46"/>
  <c r="V5" i="46"/>
  <c r="U5" i="46"/>
  <c r="T5" i="46"/>
  <c r="AA4" i="46"/>
  <c r="Z4" i="46"/>
  <c r="Y4" i="46"/>
  <c r="X4" i="46"/>
  <c r="W4" i="46"/>
  <c r="V4" i="46"/>
  <c r="U4" i="46"/>
  <c r="T4" i="46"/>
  <c r="AA3" i="46"/>
  <c r="Z3" i="46"/>
  <c r="Y3" i="46"/>
  <c r="X3" i="46"/>
  <c r="W3" i="46"/>
  <c r="V3" i="46"/>
  <c r="U3" i="46"/>
  <c r="T3" i="46"/>
  <c r="AA8" i="45"/>
  <c r="Z8" i="45"/>
  <c r="Y8" i="45"/>
  <c r="X8" i="45"/>
  <c r="W8" i="45"/>
  <c r="V8" i="45"/>
  <c r="U8" i="45"/>
  <c r="T8" i="45"/>
  <c r="AA7" i="45"/>
  <c r="Z7" i="45"/>
  <c r="Y7" i="45"/>
  <c r="X7" i="45"/>
  <c r="W7" i="45"/>
  <c r="V7" i="45"/>
  <c r="U7" i="45"/>
  <c r="T7" i="45"/>
  <c r="AA6" i="45"/>
  <c r="Z6" i="45"/>
  <c r="Y6" i="45"/>
  <c r="X6" i="45"/>
  <c r="W6" i="45"/>
  <c r="V6" i="45"/>
  <c r="U6" i="45"/>
  <c r="T6" i="45"/>
  <c r="AA5" i="45"/>
  <c r="Z5" i="45"/>
  <c r="Y5" i="45"/>
  <c r="X5" i="45"/>
  <c r="W5" i="45"/>
  <c r="V5" i="45"/>
  <c r="U5" i="45"/>
  <c r="T5" i="45"/>
  <c r="AA4" i="45"/>
  <c r="Z4" i="45"/>
  <c r="Y4" i="45"/>
  <c r="X4" i="45"/>
  <c r="W4" i="45"/>
  <c r="V4" i="45"/>
  <c r="U4" i="45"/>
  <c r="T4" i="45"/>
  <c r="AA3" i="45"/>
  <c r="Z3" i="45"/>
  <c r="Y3" i="45"/>
  <c r="X3" i="45"/>
  <c r="W3" i="45"/>
  <c r="V3" i="45"/>
  <c r="U3" i="45"/>
  <c r="T3" i="45"/>
  <c r="AA8" i="44"/>
  <c r="Z8" i="44"/>
  <c r="Y8" i="44"/>
  <c r="X8" i="44"/>
  <c r="W8" i="44"/>
  <c r="V8" i="44"/>
  <c r="U8" i="44"/>
  <c r="T8" i="44"/>
  <c r="AA7" i="44"/>
  <c r="Z7" i="44"/>
  <c r="Y7" i="44"/>
  <c r="X7" i="44"/>
  <c r="W7" i="44"/>
  <c r="V7" i="44"/>
  <c r="U7" i="44"/>
  <c r="T7" i="44"/>
  <c r="AA6" i="44"/>
  <c r="Z6" i="44"/>
  <c r="Y6" i="44"/>
  <c r="X6" i="44"/>
  <c r="W6" i="44"/>
  <c r="V6" i="44"/>
  <c r="U6" i="44"/>
  <c r="T6" i="44"/>
  <c r="AA5" i="44"/>
  <c r="Z5" i="44"/>
  <c r="Y5" i="44"/>
  <c r="X5" i="44"/>
  <c r="W5" i="44"/>
  <c r="V5" i="44"/>
  <c r="U5" i="44"/>
  <c r="T5" i="44"/>
  <c r="AA4" i="44"/>
  <c r="Z4" i="44"/>
  <c r="Y4" i="44"/>
  <c r="X4" i="44"/>
  <c r="W4" i="44"/>
  <c r="V4" i="44"/>
  <c r="U4" i="44"/>
  <c r="T4" i="44"/>
  <c r="AA3" i="44"/>
  <c r="Z3" i="44"/>
  <c r="Y3" i="44"/>
  <c r="X3" i="44"/>
  <c r="W3" i="44"/>
  <c r="V3" i="44"/>
  <c r="U3" i="44"/>
  <c r="T3" i="44"/>
  <c r="AA8" i="43"/>
  <c r="Z8" i="43"/>
  <c r="Y8" i="43"/>
  <c r="X8" i="43"/>
  <c r="W8" i="43"/>
  <c r="V8" i="43"/>
  <c r="U8" i="43"/>
  <c r="T8" i="43"/>
  <c r="AA7" i="43"/>
  <c r="Z7" i="43"/>
  <c r="Y7" i="43"/>
  <c r="X7" i="43"/>
  <c r="W7" i="43"/>
  <c r="V7" i="43"/>
  <c r="U7" i="43"/>
  <c r="T7" i="43"/>
  <c r="AA6" i="43"/>
  <c r="Z6" i="43"/>
  <c r="Y6" i="43"/>
  <c r="X6" i="43"/>
  <c r="W6" i="43"/>
  <c r="V6" i="43"/>
  <c r="U6" i="43"/>
  <c r="T6" i="43"/>
  <c r="AA5" i="43"/>
  <c r="Z5" i="43"/>
  <c r="Y5" i="43"/>
  <c r="X5" i="43"/>
  <c r="W5" i="43"/>
  <c r="V5" i="43"/>
  <c r="U5" i="43"/>
  <c r="T5" i="43"/>
  <c r="AA4" i="43"/>
  <c r="Z4" i="43"/>
  <c r="Y4" i="43"/>
  <c r="X4" i="43"/>
  <c r="W4" i="43"/>
  <c r="V4" i="43"/>
  <c r="U4" i="43"/>
  <c r="T4" i="43"/>
  <c r="AA3" i="43"/>
  <c r="Z3" i="43"/>
  <c r="Y3" i="43"/>
  <c r="X3" i="43"/>
  <c r="W3" i="43"/>
  <c r="V3" i="43"/>
  <c r="U3" i="43"/>
  <c r="T3" i="43"/>
  <c r="AA8" i="42"/>
  <c r="Z8" i="42"/>
  <c r="Y8" i="42"/>
  <c r="X8" i="42"/>
  <c r="W8" i="42"/>
  <c r="V8" i="42"/>
  <c r="U8" i="42"/>
  <c r="T8" i="42"/>
  <c r="AA7" i="42"/>
  <c r="Z7" i="42"/>
  <c r="Y7" i="42"/>
  <c r="X7" i="42"/>
  <c r="W7" i="42"/>
  <c r="V7" i="42"/>
  <c r="U7" i="42"/>
  <c r="T7" i="42"/>
  <c r="AA6" i="42"/>
  <c r="Z6" i="42"/>
  <c r="Y6" i="42"/>
  <c r="X6" i="42"/>
  <c r="W6" i="42"/>
  <c r="V6" i="42"/>
  <c r="U6" i="42"/>
  <c r="T6" i="42"/>
  <c r="AA5" i="42"/>
  <c r="Z5" i="42"/>
  <c r="Y5" i="42"/>
  <c r="X5" i="42"/>
  <c r="W5" i="42"/>
  <c r="V5" i="42"/>
  <c r="U5" i="42"/>
  <c r="T5" i="42"/>
  <c r="AA4" i="42"/>
  <c r="Z4" i="42"/>
  <c r="Y4" i="42"/>
  <c r="X4" i="42"/>
  <c r="W4" i="42"/>
  <c r="V4" i="42"/>
  <c r="U4" i="42"/>
  <c r="T4" i="42"/>
  <c r="AA3" i="42"/>
  <c r="Z3" i="42"/>
  <c r="Y3" i="42"/>
  <c r="X3" i="42"/>
  <c r="W3" i="42"/>
  <c r="V3" i="42"/>
  <c r="U3" i="42"/>
  <c r="T3" i="42"/>
  <c r="AA8" i="41"/>
  <c r="Z8" i="41"/>
  <c r="Y8" i="41"/>
  <c r="X8" i="41"/>
  <c r="W8" i="41"/>
  <c r="V8" i="41"/>
  <c r="U8" i="41"/>
  <c r="T8" i="41"/>
  <c r="AA7" i="41"/>
  <c r="Z7" i="41"/>
  <c r="Y7" i="41"/>
  <c r="X7" i="41"/>
  <c r="W7" i="41"/>
  <c r="V7" i="41"/>
  <c r="U7" i="41"/>
  <c r="T7" i="41"/>
  <c r="AA6" i="41"/>
  <c r="Z6" i="41"/>
  <c r="Y6" i="41"/>
  <c r="X6" i="41"/>
  <c r="W6" i="41"/>
  <c r="V6" i="41"/>
  <c r="U6" i="41"/>
  <c r="T6" i="41"/>
  <c r="AA5" i="41"/>
  <c r="Z5" i="41"/>
  <c r="Y5" i="41"/>
  <c r="X5" i="41"/>
  <c r="W5" i="41"/>
  <c r="V5" i="41"/>
  <c r="U5" i="41"/>
  <c r="T5" i="41"/>
  <c r="AA4" i="41"/>
  <c r="Z4" i="41"/>
  <c r="Y4" i="41"/>
  <c r="X4" i="41"/>
  <c r="W4" i="41"/>
  <c r="V4" i="41"/>
  <c r="U4" i="41"/>
  <c r="T4" i="41"/>
  <c r="AA3" i="41"/>
  <c r="Z3" i="41"/>
  <c r="Y3" i="41"/>
  <c r="X3" i="41"/>
  <c r="W3" i="41"/>
  <c r="V3" i="41"/>
  <c r="U3" i="41"/>
  <c r="T3" i="41"/>
  <c r="AA8" i="40"/>
  <c r="Z8" i="40"/>
  <c r="Y8" i="40"/>
  <c r="X8" i="40"/>
  <c r="W8" i="40"/>
  <c r="V8" i="40"/>
  <c r="U8" i="40"/>
  <c r="T8" i="40"/>
  <c r="AA7" i="40"/>
  <c r="Z7" i="40"/>
  <c r="Y7" i="40"/>
  <c r="X7" i="40"/>
  <c r="W7" i="40"/>
  <c r="V7" i="40"/>
  <c r="U7" i="40"/>
  <c r="T7" i="40"/>
  <c r="AA6" i="40"/>
  <c r="Z6" i="40"/>
  <c r="Y6" i="40"/>
  <c r="X6" i="40"/>
  <c r="W6" i="40"/>
  <c r="V6" i="40"/>
  <c r="U6" i="40"/>
  <c r="T6" i="40"/>
  <c r="AA5" i="40"/>
  <c r="Z5" i="40"/>
  <c r="Y5" i="40"/>
  <c r="X5" i="40"/>
  <c r="W5" i="40"/>
  <c r="V5" i="40"/>
  <c r="U5" i="40"/>
  <c r="T5" i="40"/>
  <c r="AA4" i="40"/>
  <c r="Z4" i="40"/>
  <c r="Y4" i="40"/>
  <c r="X4" i="40"/>
  <c r="W4" i="40"/>
  <c r="V4" i="40"/>
  <c r="U4" i="40"/>
  <c r="T4" i="40"/>
  <c r="AA3" i="40"/>
  <c r="Z3" i="40"/>
  <c r="Y3" i="40"/>
  <c r="X3" i="40"/>
  <c r="W3" i="40"/>
  <c r="V3" i="40"/>
  <c r="U3" i="40"/>
  <c r="T3" i="40"/>
  <c r="AA8" i="39"/>
  <c r="Z8" i="39"/>
  <c r="Y8" i="39"/>
  <c r="X8" i="39"/>
  <c r="W8" i="39"/>
  <c r="V8" i="39"/>
  <c r="U8" i="39"/>
  <c r="T8" i="39"/>
  <c r="AA7" i="39"/>
  <c r="Z7" i="39"/>
  <c r="Y7" i="39"/>
  <c r="X7" i="39"/>
  <c r="W7" i="39"/>
  <c r="V7" i="39"/>
  <c r="U7" i="39"/>
  <c r="T7" i="39"/>
  <c r="AA6" i="39"/>
  <c r="Z6" i="39"/>
  <c r="Y6" i="39"/>
  <c r="X6" i="39"/>
  <c r="W6" i="39"/>
  <c r="V6" i="39"/>
  <c r="U6" i="39"/>
  <c r="T6" i="39"/>
  <c r="AA5" i="39"/>
  <c r="Z5" i="39"/>
  <c r="Y5" i="39"/>
  <c r="X5" i="39"/>
  <c r="W5" i="39"/>
  <c r="V5" i="39"/>
  <c r="U5" i="39"/>
  <c r="T5" i="39"/>
  <c r="AA4" i="39"/>
  <c r="Z4" i="39"/>
  <c r="Y4" i="39"/>
  <c r="X4" i="39"/>
  <c r="W4" i="39"/>
  <c r="V4" i="39"/>
  <c r="U4" i="39"/>
  <c r="T4" i="39"/>
  <c r="AA3" i="39"/>
  <c r="Z3" i="39"/>
  <c r="Y3" i="39"/>
  <c r="X3" i="39"/>
  <c r="W3" i="39"/>
  <c r="V3" i="39"/>
  <c r="U3" i="39"/>
  <c r="T3" i="39"/>
  <c r="AA8" i="37"/>
  <c r="Z8" i="37"/>
  <c r="Y8" i="37"/>
  <c r="X8" i="37"/>
  <c r="W8" i="37"/>
  <c r="V8" i="37"/>
  <c r="U8" i="37"/>
  <c r="T8" i="37"/>
  <c r="AA7" i="37"/>
  <c r="Z7" i="37"/>
  <c r="Y7" i="37"/>
  <c r="X7" i="37"/>
  <c r="W7" i="37"/>
  <c r="V7" i="37"/>
  <c r="U7" i="37"/>
  <c r="T7" i="37"/>
  <c r="AA6" i="37"/>
  <c r="Z6" i="37"/>
  <c r="Y6" i="37"/>
  <c r="X6" i="37"/>
  <c r="W6" i="37"/>
  <c r="V6" i="37"/>
  <c r="U6" i="37"/>
  <c r="T6" i="37"/>
  <c r="AA5" i="37"/>
  <c r="Z5" i="37"/>
  <c r="Y5" i="37"/>
  <c r="X5" i="37"/>
  <c r="W5" i="37"/>
  <c r="V5" i="37"/>
  <c r="U5" i="37"/>
  <c r="T5" i="37"/>
  <c r="AA4" i="37"/>
  <c r="Z4" i="37"/>
  <c r="Y4" i="37"/>
  <c r="X4" i="37"/>
  <c r="W4" i="37"/>
  <c r="V4" i="37"/>
  <c r="U4" i="37"/>
  <c r="T4" i="37"/>
  <c r="AA3" i="37"/>
  <c r="Z3" i="37"/>
  <c r="Y3" i="37"/>
  <c r="X3" i="37"/>
  <c r="W3" i="37"/>
  <c r="V3" i="37"/>
  <c r="U3" i="37"/>
  <c r="T3" i="37"/>
  <c r="AA8" i="35"/>
  <c r="Z8" i="35"/>
  <c r="Y8" i="35"/>
  <c r="X8" i="35"/>
  <c r="W8" i="35"/>
  <c r="V8" i="35"/>
  <c r="U8" i="35"/>
  <c r="T8" i="35"/>
  <c r="AA7" i="35"/>
  <c r="Z7" i="35"/>
  <c r="Y7" i="35"/>
  <c r="X7" i="35"/>
  <c r="W7" i="35"/>
  <c r="V7" i="35"/>
  <c r="U7" i="35"/>
  <c r="T7" i="35"/>
  <c r="AA6" i="35"/>
  <c r="Z6" i="35"/>
  <c r="Y6" i="35"/>
  <c r="X6" i="35"/>
  <c r="W6" i="35"/>
  <c r="V6" i="35"/>
  <c r="U6" i="35"/>
  <c r="T6" i="35"/>
  <c r="AA5" i="35"/>
  <c r="Z5" i="35"/>
  <c r="Y5" i="35"/>
  <c r="X5" i="35"/>
  <c r="W5" i="35"/>
  <c r="V5" i="35"/>
  <c r="U5" i="35"/>
  <c r="T5" i="35"/>
  <c r="AA4" i="35"/>
  <c r="Z4" i="35"/>
  <c r="Y4" i="35"/>
  <c r="X4" i="35"/>
  <c r="W4" i="35"/>
  <c r="V4" i="35"/>
  <c r="U4" i="35"/>
  <c r="T4" i="35"/>
  <c r="AA3" i="35"/>
  <c r="Z3" i="35"/>
  <c r="Y3" i="35"/>
  <c r="X3" i="35"/>
  <c r="W3" i="35"/>
  <c r="V3" i="35"/>
  <c r="U3" i="35"/>
  <c r="T3" i="35"/>
  <c r="AA8" i="34"/>
  <c r="Z8" i="34"/>
  <c r="Y8" i="34"/>
  <c r="X8" i="34"/>
  <c r="W8" i="34"/>
  <c r="V8" i="34"/>
  <c r="U8" i="34"/>
  <c r="T8" i="34"/>
  <c r="AA7" i="34"/>
  <c r="Z7" i="34"/>
  <c r="Y7" i="34"/>
  <c r="X7" i="34"/>
  <c r="W7" i="34"/>
  <c r="V7" i="34"/>
  <c r="U7" i="34"/>
  <c r="T7" i="34"/>
  <c r="AA6" i="34"/>
  <c r="Z6" i="34"/>
  <c r="Y6" i="34"/>
  <c r="X6" i="34"/>
  <c r="W6" i="34"/>
  <c r="V6" i="34"/>
  <c r="U6" i="34"/>
  <c r="T6" i="34"/>
  <c r="AA5" i="34"/>
  <c r="Z5" i="34"/>
  <c r="Y5" i="34"/>
  <c r="X5" i="34"/>
  <c r="W5" i="34"/>
  <c r="V5" i="34"/>
  <c r="U5" i="34"/>
  <c r="T5" i="34"/>
  <c r="AA4" i="34"/>
  <c r="Z4" i="34"/>
  <c r="Y4" i="34"/>
  <c r="X4" i="34"/>
  <c r="W4" i="34"/>
  <c r="V4" i="34"/>
  <c r="U4" i="34"/>
  <c r="T4" i="34"/>
  <c r="AA3" i="34"/>
  <c r="Z3" i="34"/>
  <c r="Y3" i="34"/>
  <c r="X3" i="34"/>
  <c r="W3" i="34"/>
  <c r="V3" i="34"/>
  <c r="U3" i="34"/>
  <c r="T3" i="34"/>
  <c r="AA8" i="32"/>
  <c r="Z8" i="32"/>
  <c r="Y8" i="32"/>
  <c r="X8" i="32"/>
  <c r="W8" i="32"/>
  <c r="V8" i="32"/>
  <c r="U8" i="32"/>
  <c r="T8" i="32"/>
  <c r="AA7" i="32"/>
  <c r="Z7" i="32"/>
  <c r="Y7" i="32"/>
  <c r="X7" i="32"/>
  <c r="W7" i="32"/>
  <c r="V7" i="32"/>
  <c r="U7" i="32"/>
  <c r="T7" i="32"/>
  <c r="AA6" i="32"/>
  <c r="Z6" i="32"/>
  <c r="Y6" i="32"/>
  <c r="X6" i="32"/>
  <c r="W6" i="32"/>
  <c r="V6" i="32"/>
  <c r="U6" i="32"/>
  <c r="T6" i="32"/>
  <c r="AA5" i="32"/>
  <c r="Z5" i="32"/>
  <c r="Y5" i="32"/>
  <c r="X5" i="32"/>
  <c r="W5" i="32"/>
  <c r="V5" i="32"/>
  <c r="U5" i="32"/>
  <c r="T5" i="32"/>
  <c r="AA4" i="32"/>
  <c r="Z4" i="32"/>
  <c r="Y4" i="32"/>
  <c r="X4" i="32"/>
  <c r="W4" i="32"/>
  <c r="V4" i="32"/>
  <c r="U4" i="32"/>
  <c r="T4" i="32"/>
  <c r="AA3" i="32"/>
  <c r="Z3" i="32"/>
  <c r="Y3" i="32"/>
  <c r="X3" i="32"/>
  <c r="W3" i="32"/>
  <c r="V3" i="32"/>
  <c r="U3" i="32"/>
  <c r="T3" i="32"/>
  <c r="AA8" i="31"/>
  <c r="Z8" i="31"/>
  <c r="Y8" i="31"/>
  <c r="X8" i="31"/>
  <c r="W8" i="31"/>
  <c r="V8" i="31"/>
  <c r="U8" i="31"/>
  <c r="T8" i="31"/>
  <c r="AA7" i="31"/>
  <c r="Z7" i="31"/>
  <c r="Y7" i="31"/>
  <c r="X7" i="31"/>
  <c r="W7" i="31"/>
  <c r="V7" i="31"/>
  <c r="U7" i="31"/>
  <c r="T7" i="31"/>
  <c r="AA6" i="31"/>
  <c r="Z6" i="31"/>
  <c r="Y6" i="31"/>
  <c r="X6" i="31"/>
  <c r="W6" i="31"/>
  <c r="V6" i="31"/>
  <c r="U6" i="31"/>
  <c r="T6" i="31"/>
  <c r="AA5" i="31"/>
  <c r="Z5" i="31"/>
  <c r="Y5" i="31"/>
  <c r="X5" i="31"/>
  <c r="W5" i="31"/>
  <c r="V5" i="31"/>
  <c r="U5" i="31"/>
  <c r="T5" i="31"/>
  <c r="AA4" i="31"/>
  <c r="Z4" i="31"/>
  <c r="Y4" i="31"/>
  <c r="X4" i="31"/>
  <c r="W4" i="31"/>
  <c r="V4" i="31"/>
  <c r="U4" i="31"/>
  <c r="T4" i="31"/>
  <c r="AA3" i="31"/>
  <c r="Z3" i="31"/>
  <c r="Y3" i="31"/>
  <c r="X3" i="31"/>
  <c r="W3" i="31"/>
  <c r="V3" i="31"/>
  <c r="U3" i="31"/>
  <c r="T3" i="31"/>
  <c r="AA8" i="30"/>
  <c r="Z8" i="30"/>
  <c r="Y8" i="30"/>
  <c r="X8" i="30"/>
  <c r="W8" i="30"/>
  <c r="V8" i="30"/>
  <c r="U8" i="30"/>
  <c r="T8" i="30"/>
  <c r="AA7" i="30"/>
  <c r="Z7" i="30"/>
  <c r="Y7" i="30"/>
  <c r="X7" i="30"/>
  <c r="W7" i="30"/>
  <c r="V7" i="30"/>
  <c r="U7" i="30"/>
  <c r="T7" i="30"/>
  <c r="AA6" i="30"/>
  <c r="Z6" i="30"/>
  <c r="Y6" i="30"/>
  <c r="X6" i="30"/>
  <c r="W6" i="30"/>
  <c r="V6" i="30"/>
  <c r="U6" i="30"/>
  <c r="T6" i="30"/>
  <c r="AA5" i="30"/>
  <c r="Z5" i="30"/>
  <c r="Y5" i="30"/>
  <c r="X5" i="30"/>
  <c r="W5" i="30"/>
  <c r="V5" i="30"/>
  <c r="U5" i="30"/>
  <c r="T5" i="30"/>
  <c r="AA4" i="30"/>
  <c r="Z4" i="30"/>
  <c r="Y4" i="30"/>
  <c r="X4" i="30"/>
  <c r="W4" i="30"/>
  <c r="V4" i="30"/>
  <c r="U4" i="30"/>
  <c r="T4" i="30"/>
  <c r="AA3" i="30"/>
  <c r="Z3" i="30"/>
  <c r="Y3" i="30"/>
  <c r="X3" i="30"/>
  <c r="W3" i="30"/>
  <c r="V3" i="30"/>
  <c r="U3" i="30"/>
  <c r="T3" i="30"/>
  <c r="AA8" i="28"/>
  <c r="Z8" i="28"/>
  <c r="Y8" i="28"/>
  <c r="X8" i="28"/>
  <c r="W8" i="28"/>
  <c r="V8" i="28"/>
  <c r="U8" i="28"/>
  <c r="T8" i="28"/>
  <c r="AA7" i="28"/>
  <c r="Z7" i="28"/>
  <c r="Y7" i="28"/>
  <c r="X7" i="28"/>
  <c r="W7" i="28"/>
  <c r="V7" i="28"/>
  <c r="U7" i="28"/>
  <c r="T7" i="28"/>
  <c r="AA6" i="28"/>
  <c r="Z6" i="28"/>
  <c r="Y6" i="28"/>
  <c r="X6" i="28"/>
  <c r="W6" i="28"/>
  <c r="V6" i="28"/>
  <c r="U6" i="28"/>
  <c r="T6" i="28"/>
  <c r="AA5" i="28"/>
  <c r="Z5" i="28"/>
  <c r="Y5" i="28"/>
  <c r="X5" i="28"/>
  <c r="W5" i="28"/>
  <c r="V5" i="28"/>
  <c r="U5" i="28"/>
  <c r="T5" i="28"/>
  <c r="AA4" i="28"/>
  <c r="Z4" i="28"/>
  <c r="Y4" i="28"/>
  <c r="X4" i="28"/>
  <c r="W4" i="28"/>
  <c r="V4" i="28"/>
  <c r="U4" i="28"/>
  <c r="T4" i="28"/>
  <c r="AA3" i="28"/>
  <c r="Z3" i="28"/>
  <c r="Y3" i="28"/>
  <c r="X3" i="28"/>
  <c r="W3" i="28"/>
  <c r="V3" i="28"/>
  <c r="U3" i="28"/>
  <c r="T3" i="28"/>
  <c r="AA8" i="27"/>
  <c r="Z8" i="27"/>
  <c r="Y8" i="27"/>
  <c r="X8" i="27"/>
  <c r="W8" i="27"/>
  <c r="V8" i="27"/>
  <c r="U8" i="27"/>
  <c r="T8" i="27"/>
  <c r="AA7" i="27"/>
  <c r="Z7" i="27"/>
  <c r="Y7" i="27"/>
  <c r="X7" i="27"/>
  <c r="W7" i="27"/>
  <c r="V7" i="27"/>
  <c r="U7" i="27"/>
  <c r="T7" i="27"/>
  <c r="AA6" i="27"/>
  <c r="Z6" i="27"/>
  <c r="Y6" i="27"/>
  <c r="X6" i="27"/>
  <c r="W6" i="27"/>
  <c r="V6" i="27"/>
  <c r="U6" i="27"/>
  <c r="T6" i="27"/>
  <c r="AA5" i="27"/>
  <c r="Z5" i="27"/>
  <c r="Y5" i="27"/>
  <c r="X5" i="27"/>
  <c r="W5" i="27"/>
  <c r="V5" i="27"/>
  <c r="U5" i="27"/>
  <c r="T5" i="27"/>
  <c r="AA4" i="27"/>
  <c r="Z4" i="27"/>
  <c r="Y4" i="27"/>
  <c r="X4" i="27"/>
  <c r="W4" i="27"/>
  <c r="V4" i="27"/>
  <c r="U4" i="27"/>
  <c r="T4" i="27"/>
  <c r="AA3" i="27"/>
  <c r="Z3" i="27"/>
  <c r="Y3" i="27"/>
  <c r="X3" i="27"/>
  <c r="W3" i="27"/>
  <c r="V3" i="27"/>
  <c r="U3" i="27"/>
  <c r="T3" i="27"/>
  <c r="AA8" i="26"/>
  <c r="Z8" i="26"/>
  <c r="Y8" i="26"/>
  <c r="X8" i="26"/>
  <c r="W8" i="26"/>
  <c r="V8" i="26"/>
  <c r="U8" i="26"/>
  <c r="T8" i="26"/>
  <c r="AA7" i="26"/>
  <c r="Z7" i="26"/>
  <c r="Y7" i="26"/>
  <c r="X7" i="26"/>
  <c r="W7" i="26"/>
  <c r="V7" i="26"/>
  <c r="U7" i="26"/>
  <c r="T7" i="26"/>
  <c r="AA6" i="26"/>
  <c r="Z6" i="26"/>
  <c r="Y6" i="26"/>
  <c r="X6" i="26"/>
  <c r="W6" i="26"/>
  <c r="V6" i="26"/>
  <c r="U6" i="26"/>
  <c r="T6" i="26"/>
  <c r="AA5" i="26"/>
  <c r="Z5" i="26"/>
  <c r="Y5" i="26"/>
  <c r="X5" i="26"/>
  <c r="W5" i="26"/>
  <c r="V5" i="26"/>
  <c r="U5" i="26"/>
  <c r="T5" i="26"/>
  <c r="AA4" i="26"/>
  <c r="Z4" i="26"/>
  <c r="Y4" i="26"/>
  <c r="X4" i="26"/>
  <c r="W4" i="26"/>
  <c r="V4" i="26"/>
  <c r="U4" i="26"/>
  <c r="T4" i="26"/>
  <c r="AA3" i="26"/>
  <c r="Z3" i="26"/>
  <c r="Y3" i="26"/>
  <c r="X3" i="26"/>
  <c r="W3" i="26"/>
  <c r="V3" i="26"/>
  <c r="U3" i="26"/>
  <c r="T3" i="26"/>
  <c r="AA8" i="25"/>
  <c r="Z8" i="25"/>
  <c r="Y8" i="25"/>
  <c r="X8" i="25"/>
  <c r="W8" i="25"/>
  <c r="V8" i="25"/>
  <c r="U8" i="25"/>
  <c r="T8" i="25"/>
  <c r="AA7" i="25"/>
  <c r="Z7" i="25"/>
  <c r="Y7" i="25"/>
  <c r="X7" i="25"/>
  <c r="W7" i="25"/>
  <c r="V7" i="25"/>
  <c r="U7" i="25"/>
  <c r="T7" i="25"/>
  <c r="AA6" i="25"/>
  <c r="Z6" i="25"/>
  <c r="Y6" i="25"/>
  <c r="X6" i="25"/>
  <c r="W6" i="25"/>
  <c r="V6" i="25"/>
  <c r="U6" i="25"/>
  <c r="T6" i="25"/>
  <c r="AA5" i="25"/>
  <c r="Z5" i="25"/>
  <c r="Y5" i="25"/>
  <c r="X5" i="25"/>
  <c r="W5" i="25"/>
  <c r="V5" i="25"/>
  <c r="U5" i="25"/>
  <c r="T5" i="25"/>
  <c r="AA4" i="25"/>
  <c r="Z4" i="25"/>
  <c r="Y4" i="25"/>
  <c r="X4" i="25"/>
  <c r="W4" i="25"/>
  <c r="V4" i="25"/>
  <c r="U4" i="25"/>
  <c r="T4" i="25"/>
  <c r="AA3" i="25"/>
  <c r="Z3" i="25"/>
  <c r="Y3" i="25"/>
  <c r="X3" i="25"/>
  <c r="W3" i="25"/>
  <c r="V3" i="25"/>
  <c r="U3" i="25"/>
  <c r="T3" i="25"/>
  <c r="AA8" i="24"/>
  <c r="Z8" i="24"/>
  <c r="Y8" i="24"/>
  <c r="X8" i="24"/>
  <c r="W8" i="24"/>
  <c r="V8" i="24"/>
  <c r="U8" i="24"/>
  <c r="T8" i="24"/>
  <c r="AA7" i="24"/>
  <c r="Z7" i="24"/>
  <c r="Y7" i="24"/>
  <c r="X7" i="24"/>
  <c r="W7" i="24"/>
  <c r="V7" i="24"/>
  <c r="U7" i="24"/>
  <c r="T7" i="24"/>
  <c r="AA6" i="24"/>
  <c r="Z6" i="24"/>
  <c r="Y6" i="24"/>
  <c r="X6" i="24"/>
  <c r="W6" i="24"/>
  <c r="V6" i="24"/>
  <c r="U6" i="24"/>
  <c r="T6" i="24"/>
  <c r="AA5" i="24"/>
  <c r="Z5" i="24"/>
  <c r="Y5" i="24"/>
  <c r="X5" i="24"/>
  <c r="W5" i="24"/>
  <c r="V5" i="24"/>
  <c r="U5" i="24"/>
  <c r="T5" i="24"/>
  <c r="AA4" i="24"/>
  <c r="Z4" i="24"/>
  <c r="Y4" i="24"/>
  <c r="X4" i="24"/>
  <c r="W4" i="24"/>
  <c r="V4" i="24"/>
  <c r="U4" i="24"/>
  <c r="T4" i="24"/>
  <c r="AA3" i="24"/>
  <c r="Z3" i="24"/>
  <c r="Y3" i="24"/>
  <c r="X3" i="24"/>
  <c r="W3" i="24"/>
  <c r="V3" i="24"/>
  <c r="U3" i="24"/>
  <c r="T3" i="24"/>
  <c r="AA8" i="23"/>
  <c r="Z8" i="23"/>
  <c r="Y8" i="23"/>
  <c r="X8" i="23"/>
  <c r="W8" i="23"/>
  <c r="V8" i="23"/>
  <c r="U8" i="23"/>
  <c r="T8" i="23"/>
  <c r="AA7" i="23"/>
  <c r="Z7" i="23"/>
  <c r="Y7" i="23"/>
  <c r="X7" i="23"/>
  <c r="W7" i="23"/>
  <c r="V7" i="23"/>
  <c r="U7" i="23"/>
  <c r="T7" i="23"/>
  <c r="AA6" i="23"/>
  <c r="Z6" i="23"/>
  <c r="Y6" i="23"/>
  <c r="X6" i="23"/>
  <c r="W6" i="23"/>
  <c r="V6" i="23"/>
  <c r="U6" i="23"/>
  <c r="T6" i="23"/>
  <c r="AA5" i="23"/>
  <c r="Z5" i="23"/>
  <c r="Y5" i="23"/>
  <c r="X5" i="23"/>
  <c r="W5" i="23"/>
  <c r="V5" i="23"/>
  <c r="U5" i="23"/>
  <c r="T5" i="23"/>
  <c r="AA4" i="23"/>
  <c r="Z4" i="23"/>
  <c r="Y4" i="23"/>
  <c r="X4" i="23"/>
  <c r="W4" i="23"/>
  <c r="V4" i="23"/>
  <c r="U4" i="23"/>
  <c r="T4" i="23"/>
  <c r="AA3" i="23"/>
  <c r="Z3" i="23"/>
  <c r="Y3" i="23"/>
  <c r="X3" i="23"/>
  <c r="W3" i="23"/>
  <c r="V3" i="23"/>
  <c r="U3" i="23"/>
  <c r="T3" i="23"/>
  <c r="AA8" i="22"/>
  <c r="Z8" i="22"/>
  <c r="Y8" i="22"/>
  <c r="X8" i="22"/>
  <c r="W8" i="22"/>
  <c r="V8" i="22"/>
  <c r="U8" i="22"/>
  <c r="T8" i="22"/>
  <c r="AA7" i="22"/>
  <c r="Z7" i="22"/>
  <c r="Y7" i="22"/>
  <c r="X7" i="22"/>
  <c r="W7" i="22"/>
  <c r="V7" i="22"/>
  <c r="U7" i="22"/>
  <c r="T7" i="22"/>
  <c r="AA6" i="22"/>
  <c r="Z6" i="22"/>
  <c r="Y6" i="22"/>
  <c r="X6" i="22"/>
  <c r="W6" i="22"/>
  <c r="V6" i="22"/>
  <c r="U6" i="22"/>
  <c r="T6" i="22"/>
  <c r="AA5" i="22"/>
  <c r="Z5" i="22"/>
  <c r="Y5" i="22"/>
  <c r="X5" i="22"/>
  <c r="W5" i="22"/>
  <c r="V5" i="22"/>
  <c r="U5" i="22"/>
  <c r="T5" i="22"/>
  <c r="AA4" i="22"/>
  <c r="Z4" i="22"/>
  <c r="Y4" i="22"/>
  <c r="X4" i="22"/>
  <c r="W4" i="22"/>
  <c r="V4" i="22"/>
  <c r="U4" i="22"/>
  <c r="T4" i="22"/>
  <c r="AA3" i="22"/>
  <c r="Z3" i="22"/>
  <c r="Y3" i="22"/>
  <c r="X3" i="22"/>
  <c r="W3" i="22"/>
  <c r="V3" i="22"/>
  <c r="U3" i="22"/>
  <c r="T3" i="22"/>
  <c r="AA8" i="21"/>
  <c r="Z8" i="21"/>
  <c r="Y8" i="21"/>
  <c r="X8" i="21"/>
  <c r="W8" i="21"/>
  <c r="V8" i="21"/>
  <c r="U8" i="21"/>
  <c r="T8" i="21"/>
  <c r="AA7" i="21"/>
  <c r="Z7" i="21"/>
  <c r="Y7" i="21"/>
  <c r="X7" i="21"/>
  <c r="W7" i="21"/>
  <c r="V7" i="21"/>
  <c r="U7" i="21"/>
  <c r="T7" i="21"/>
  <c r="AA6" i="21"/>
  <c r="Z6" i="21"/>
  <c r="Y6" i="21"/>
  <c r="X6" i="21"/>
  <c r="W6" i="21"/>
  <c r="V6" i="21"/>
  <c r="U6" i="21"/>
  <c r="T6" i="21"/>
  <c r="AA5" i="21"/>
  <c r="Z5" i="21"/>
  <c r="Y5" i="21"/>
  <c r="X5" i="21"/>
  <c r="W5" i="21"/>
  <c r="V5" i="21"/>
  <c r="U5" i="21"/>
  <c r="T5" i="21"/>
  <c r="AA4" i="21"/>
  <c r="Z4" i="21"/>
  <c r="Y4" i="21"/>
  <c r="X4" i="21"/>
  <c r="W4" i="21"/>
  <c r="V4" i="21"/>
  <c r="U4" i="21"/>
  <c r="T4" i="21"/>
  <c r="AA3" i="21"/>
  <c r="Z3" i="21"/>
  <c r="Y3" i="21"/>
  <c r="X3" i="21"/>
  <c r="W3" i="21"/>
  <c r="V3" i="21"/>
  <c r="U3" i="21"/>
  <c r="T3" i="21"/>
  <c r="AA8" i="16"/>
  <c r="Z8" i="16"/>
  <c r="Y8" i="16"/>
  <c r="X8" i="16"/>
  <c r="W8" i="16"/>
  <c r="V8" i="16"/>
  <c r="U8" i="16"/>
  <c r="T8" i="16"/>
  <c r="AA7" i="16"/>
  <c r="Z7" i="16"/>
  <c r="Y7" i="16"/>
  <c r="X7" i="16"/>
  <c r="W7" i="16"/>
  <c r="V7" i="16"/>
  <c r="U7" i="16"/>
  <c r="T7" i="16"/>
  <c r="AA6" i="16"/>
  <c r="Z6" i="16"/>
  <c r="Y6" i="16"/>
  <c r="X6" i="16"/>
  <c r="W6" i="16"/>
  <c r="V6" i="16"/>
  <c r="U6" i="16"/>
  <c r="T6" i="16"/>
  <c r="AA5" i="16"/>
  <c r="Z5" i="16"/>
  <c r="Y5" i="16"/>
  <c r="X5" i="16"/>
  <c r="W5" i="16"/>
  <c r="V5" i="16"/>
  <c r="U5" i="16"/>
  <c r="T5" i="16"/>
  <c r="AA4" i="16"/>
  <c r="Z4" i="16"/>
  <c r="Y4" i="16"/>
  <c r="X4" i="16"/>
  <c r="W4" i="16"/>
  <c r="V4" i="16"/>
  <c r="U4" i="16"/>
  <c r="T4" i="16"/>
  <c r="AA3" i="16"/>
  <c r="Z3" i="16"/>
  <c r="Y3" i="16"/>
  <c r="X3" i="16"/>
  <c r="W3" i="16"/>
  <c r="V3" i="16"/>
  <c r="U3" i="16"/>
  <c r="T3" i="16"/>
</calcChain>
</file>

<file path=xl/sharedStrings.xml><?xml version="1.0" encoding="utf-8"?>
<sst xmlns="http://schemas.openxmlformats.org/spreadsheetml/2006/main" count="7254" uniqueCount="156">
  <si>
    <t>FF</t>
  </si>
  <si>
    <t>A1</t>
  </si>
  <si>
    <t>A2</t>
  </si>
  <si>
    <t>A1_red</t>
  </si>
  <si>
    <t>A2_red</t>
  </si>
  <si>
    <t>B1_red</t>
  </si>
  <si>
    <t>B2_red</t>
  </si>
  <si>
    <t>C1_red</t>
  </si>
  <si>
    <t>A1_green</t>
  </si>
  <si>
    <t>A2_green</t>
  </si>
  <si>
    <t>A1_blue</t>
  </si>
  <si>
    <t>A2_blue</t>
  </si>
  <si>
    <t>B1_green</t>
  </si>
  <si>
    <t>B2_green</t>
  </si>
  <si>
    <t>B1_blue</t>
  </si>
  <si>
    <t>B2_blue</t>
  </si>
  <si>
    <t>C2_red</t>
  </si>
  <si>
    <t>C1_green</t>
  </si>
  <si>
    <t>C2_green</t>
  </si>
  <si>
    <t>C1_blue</t>
  </si>
  <si>
    <t>C2_blue</t>
  </si>
  <si>
    <t>x</t>
  </si>
  <si>
    <t>y</t>
  </si>
  <si>
    <t>D</t>
  </si>
  <si>
    <t>C</t>
  </si>
  <si>
    <t>B</t>
  </si>
  <si>
    <t>A</t>
  </si>
  <si>
    <t>D2</t>
  </si>
  <si>
    <t>C2</t>
  </si>
  <si>
    <t>B2</t>
  </si>
  <si>
    <t>D1</t>
  </si>
  <si>
    <t>C1</t>
  </si>
  <si>
    <t>B1</t>
  </si>
  <si>
    <t>0x10</t>
  </si>
  <si>
    <t>0x30</t>
  </si>
  <si>
    <t>0x03</t>
  </si>
  <si>
    <t>0x01</t>
  </si>
  <si>
    <t>0x00</t>
  </si>
  <si>
    <t>0xE0</t>
  </si>
  <si>
    <t>0x80</t>
  </si>
  <si>
    <t>0x0F</t>
  </si>
  <si>
    <t>0x08</t>
  </si>
  <si>
    <t>0x0E</t>
  </si>
  <si>
    <t>0xF0</t>
  </si>
  <si>
    <t>0xC0</t>
  </si>
  <si>
    <t>0x60</t>
  </si>
  <si>
    <t>0x68</t>
  </si>
  <si>
    <t>0x06</t>
  </si>
  <si>
    <t>0x0C</t>
  </si>
  <si>
    <t>0x02</t>
  </si>
  <si>
    <t>0xF6</t>
  </si>
  <si>
    <t>0x70</t>
  </si>
  <si>
    <t>0x66</t>
  </si>
  <si>
    <t>0x31</t>
  </si>
  <si>
    <t>0x6E</t>
  </si>
  <si>
    <t>0x6C</t>
  </si>
  <si>
    <t>0x09</t>
  </si>
  <si>
    <t>0x0A</t>
  </si>
  <si>
    <t>0x0B</t>
  </si>
  <si>
    <t>0xCC</t>
  </si>
  <si>
    <t>0x33</t>
  </si>
  <si>
    <t>0x1C</t>
  </si>
  <si>
    <t>0x07</t>
  </si>
  <si>
    <t>0x40</t>
  </si>
  <si>
    <t>0x81</t>
  </si>
  <si>
    <t>0xCF</t>
  </si>
  <si>
    <t>0x90</t>
  </si>
  <si>
    <t>0x04</t>
  </si>
  <si>
    <t>0x1F</t>
  </si>
  <si>
    <t>0xF1</t>
  </si>
  <si>
    <t>0x7F</t>
  </si>
  <si>
    <t>0x8F</t>
  </si>
  <si>
    <t>0xEF</t>
  </si>
  <si>
    <t>0xF3</t>
  </si>
  <si>
    <t>0xFC</t>
  </si>
  <si>
    <t>0xFF</t>
  </si>
  <si>
    <t>0xC3</t>
  </si>
  <si>
    <t>0x3C</t>
  </si>
  <si>
    <t>0x6F</t>
  </si>
  <si>
    <t>0x13</t>
  </si>
  <si>
    <t>0x46</t>
  </si>
  <si>
    <t>0x18</t>
  </si>
  <si>
    <t>0xE6</t>
  </si>
  <si>
    <t>0xC6</t>
  </si>
  <si>
    <t>0x32</t>
  </si>
  <si>
    <t>0x62</t>
  </si>
  <si>
    <t>0x23</t>
  </si>
  <si>
    <t>0x26</t>
  </si>
  <si>
    <t>0x20</t>
  </si>
  <si>
    <t>0xF7</t>
  </si>
  <si>
    <t>0xFE</t>
  </si>
  <si>
    <t>0x86</t>
  </si>
  <si>
    <t>0x3F</t>
  </si>
  <si>
    <t>0xD0</t>
  </si>
  <si>
    <t>0x0D</t>
  </si>
  <si>
    <t>0x87</t>
  </si>
  <si>
    <t>0x8C</t>
  </si>
  <si>
    <t>0x4E</t>
  </si>
  <si>
    <t>0x8E</t>
  </si>
  <si>
    <t>0x1D</t>
  </si>
  <si>
    <t>0x89</t>
  </si>
  <si>
    <t>0x63</t>
  </si>
  <si>
    <t>0x3E</t>
  </si>
  <si>
    <t>0x6D</t>
  </si>
  <si>
    <t>0xE1</t>
  </si>
  <si>
    <t>0x1E</t>
  </si>
  <si>
    <t>0x64</t>
  </si>
  <si>
    <t>0x38</t>
  </si>
  <si>
    <t>0x71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</si>
  <si>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</si>
  <si>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</si>
  <si>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</si>
  <si>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</si>
  <si>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</si>
  <si>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</si>
  <si>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</si>
  <si>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</si>
  <si>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</si>
  <si>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</si>
  <si>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</si>
  <si>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</si>
  <si>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</si>
  <si>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</si>
  <si>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</si>
  <si>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</si>
  <si>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</si>
  <si>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</si>
  <si>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</si>
  <si>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</si>
  <si>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</si>
  <si>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</si>
  <si>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</si>
  <si>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</si>
  <si>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</si>
  <si>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</si>
  <si>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</si>
  <si>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</si>
  <si>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</si>
  <si>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</si>
  <si>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</si>
  <si>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</si>
  <si>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</si>
  <si>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</si>
  <si>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</si>
  <si>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</si>
  <si>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</si>
  <si>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</si>
  <si>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</si>
  <si>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</si>
  <si>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</si>
  <si>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</si>
  <si>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</si>
  <si>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</si>
  <si>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</si>
  <si>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</si>
  <si>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0xF8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</si>
</sst>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0x&quot;\ General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Font="1" applyBorder="1"/>
    <xf numFmtId="164" fontId="0" fillId="0" borderId="0" xfId="0" applyNumberFormat="1"/>
  </cellXfs>
  <cellStyles count="1">
    <cellStyle name="Normal" xfId="0" builtinId="0"/>
  </cellStyles>
  <dxfs count="189">
    <dxf>
      <font>
        <color auto="1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rgb="FFFFFF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D4B24-9C57-47B9-A23F-66C397109718}">
  <sheetPr codeName="Planilha6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  <col min="37" max="37" width="36.42578125" bestFit="1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42</v>
      </c>
      <c r="AF2" t="s">
        <v>37</v>
      </c>
      <c r="AG2" t="s">
        <v>35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10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03</v>
      </c>
      <c r="Y3" s="28" t="str">
        <f>DEC2HEX(K6*2^0+K5*2^1+K4*2^2+K3*2^3+O6*2^4+O5*2^5+O4*2^6+O3*2^7,2)</f>
        <v>03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41</v>
      </c>
      <c r="AF3" t="s">
        <v>37</v>
      </c>
      <c r="AG3" t="s">
        <v>37</v>
      </c>
      <c r="AH3" t="s">
        <v>38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0E</v>
      </c>
      <c r="U4" s="28" t="str">
        <f>DEC2HEX(C10*2^4+C9*2^5+C8*2^6+C7*2^7+G10*2^0+G9*2^1+G8*2^2+G7*2^3,2)</f>
        <v>08</v>
      </c>
      <c r="V4" s="28" t="str">
        <f>DEC2HEX(D10*2^4+D9*2^5+D8*2^6+D7*2^7+H10*2^0+H9*2^1+H8*2^2+H7*2^3,2)</f>
        <v>30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03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E0</v>
      </c>
      <c r="AA4" s="28" t="str">
        <f>DEC2HEX(M10*2^4+M9*2^5+M8*2^6+M7*2^7+Q10*2^0+Q9*2^1+Q8*2^2+Q7*2^3,2)</f>
        <v>F0</v>
      </c>
      <c r="AC4" t="s">
        <v>29</v>
      </c>
      <c r="AD4" t="s">
        <v>34</v>
      </c>
      <c r="AE4" t="s">
        <v>34</v>
      </c>
      <c r="AF4" t="s">
        <v>40</v>
      </c>
      <c r="AG4" t="s">
        <v>38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>DEC2HEX(B14*2^0+B13*2^1+B12*2^2+B11*2^3+F14*2^4+F13*2^5+F12*2^6+F11*2^7,2)</f>
        <v>00</v>
      </c>
      <c r="U5" s="28" t="str">
        <f>DEC2HEX(C14*2^0+C13*2^1+C12*2^2+C11*2^3+G14*2^4+G13*2^5+G12*2^6+G11*2^7,2)</f>
        <v>00</v>
      </c>
      <c r="V5" s="28" t="str">
        <f>DEC2HEX(D14*2^0+D13*2^1+D12*2^2+D11*2^3+H14*2^4+H13*2^5+H12*2^6+H11*2^7,2)</f>
        <v>0F</v>
      </c>
      <c r="W5" s="28" t="str">
        <f t="shared" ref="W5" si="0">DEC2HEX(E14*2^0+E13*2^1+E12*2^2+E11*2^3+I14*2^4+I13*2^5+I12*2^6+I11*2^7,2)</f>
        <v>0F</v>
      </c>
      <c r="X5" s="28" t="str">
        <f t="shared" ref="X5:Y5" si="1">DEC2HEX(J14*2^0+J13*2^1+J12*2^2+J11*2^3+N14*2^4+N13*2^5+N12*2^6+N11*2^7,2)</f>
        <v>F0</v>
      </c>
      <c r="Y5" s="28" t="str">
        <f t="shared" si="1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0F</v>
      </c>
      <c r="AC5" t="s">
        <v>2</v>
      </c>
      <c r="AD5" t="s">
        <v>34</v>
      </c>
      <c r="AE5" t="s">
        <v>43</v>
      </c>
      <c r="AF5" t="s">
        <v>40</v>
      </c>
      <c r="AG5" t="s">
        <v>43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>DEC2HEX(B18*2^4+B17*2^5+B16*2^6+B15*2^7+F18*2^0+F17*2^1+F16*2^2+F15*2^3,2)</f>
        <v>03</v>
      </c>
      <c r="U6" s="28" t="str">
        <f t="shared" ref="U6" si="2">DEC2HEX(C18*2^4+C17*2^5+C16*2^6+C15*2^7+G18*2^0+G17*2^1+G16*2^2+G15*2^3,2)</f>
        <v>00</v>
      </c>
      <c r="V6" s="28" t="str">
        <f>DEC2HEX(D18*2^4+D17*2^5+D16*2^6+D15*2^7+H18*2^0+H17*2^1+H16*2^2+H15*2^3,2)</f>
        <v>E0</v>
      </c>
      <c r="W6" s="28" t="str">
        <f t="shared" ref="W6" si="3">DEC2HEX(E18*2^4+E17*2^5+E16*2^6+E15*2^7+I18*2^0+I17*2^1+I16*2^2+I15*2^3,2)</f>
        <v>F0</v>
      </c>
      <c r="X6" s="28" t="str">
        <f t="shared" ref="X6:Y6" si="4">DEC2HEX(J18*2^4+J17*2^5+J16*2^6+J15*2^7+N18*2^0+N17*2^1+N16*2^2+N15*2^3,2)</f>
        <v>0E</v>
      </c>
      <c r="Y6" s="28" t="str">
        <f t="shared" si="4"/>
        <v>00</v>
      </c>
      <c r="Z6" s="28" t="str">
        <f>DEC2HEX(L18*2^4+L17*2^5+L16*2^6+L15*2^7+P18*2^0+P17*2^1+P16*2^2+P15*2^3,2)</f>
        <v>30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35</v>
      </c>
      <c r="AF6" t="s">
        <v>43</v>
      </c>
      <c r="AG6" t="s">
        <v>42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>DEC2HEX(B22*2^0+B21*2^1+B20*2^2+B19*2^3+F22*2^4+F21*2^5+F20*2^6+F19*2^7,2)</f>
        <v>C0</v>
      </c>
      <c r="U7" s="28" t="str">
        <f t="shared" ref="U7" si="5">DEC2HEX(C22*2^0+C21*2^1+C20*2^2+C19*2^3+G22*2^4+G21*2^5+G20*2^6+G19*2^7,2)</f>
        <v>E0</v>
      </c>
      <c r="V7" s="28" t="str">
        <f>DEC2HEX(D22*2^0+D21*2^1+D20*2^2+D19*2^3+H22*2^4+H21*2^5+H20*2^6+H19*2^7,2)</f>
        <v>60</v>
      </c>
      <c r="W7" s="28" t="str">
        <f t="shared" ref="W7" si="6">DEC2HEX(E22*2^0+E21*2^1+E20*2^2+E19*2^3+I22*2^4+I21*2^5+I20*2^6+I19*2^7,2)</f>
        <v>68</v>
      </c>
      <c r="X7" s="28" t="str">
        <f t="shared" ref="X7:Y7" si="7">DEC2HEX(J22*2^0+J21*2^1+J20*2^2+J19*2^3+N22*2^4+N21*2^5+N20*2^6+N19*2^7,2)</f>
        <v>06</v>
      </c>
      <c r="Y7" s="28" t="str">
        <f t="shared" si="7"/>
        <v>0E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08</v>
      </c>
      <c r="AC7" t="s">
        <v>31</v>
      </c>
      <c r="AD7" t="s">
        <v>35</v>
      </c>
      <c r="AE7" t="s">
        <v>39</v>
      </c>
      <c r="AF7" t="s">
        <v>37</v>
      </c>
      <c r="AG7" t="s">
        <v>37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>DEC2HEX(B26*2^4+B25*2^5+B24*2^6+B23*2^7+F26*2^0+F25*2^1+F24*2^2+F23*2^3,2)</f>
        <v>00</v>
      </c>
      <c r="U8" s="28" t="str">
        <f t="shared" ref="U8" si="8">DEC2HEX(C26*2^4+C25*2^5+C24*2^6+C23*2^7+G26*2^0+G25*2^1+G24*2^2+G23*2^3,2)</f>
        <v>00</v>
      </c>
      <c r="V8" s="28" t="str">
        <f>DEC2HEX(D26*2^4+D25*2^5+D24*2^6+D23*2^7+H26*2^0+H25*2^1+H24*2^2+H23*2^3,2)</f>
        <v>00</v>
      </c>
      <c r="W8" s="28" t="str">
        <f t="shared" ref="W8" si="9">DEC2HEX(E26*2^4+E25*2^5+E24*2^6+E23*2^7+I26*2^0+I25*2^1+I24*2^2+I23*2^3,2)</f>
        <v>00</v>
      </c>
      <c r="X8" s="28" t="str">
        <f t="shared" ref="X8:Y8" si="10">DEC2HEX(J26*2^4+J25*2^5+J24*2^6+J23*2^7+N26*2^0+N25*2^1+N24*2^2+N23*2^3,2)</f>
        <v>00</v>
      </c>
      <c r="Y8" s="28" t="str">
        <f t="shared" si="10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38</v>
      </c>
      <c r="AF8" t="s">
        <v>37</v>
      </c>
      <c r="AG8" t="s">
        <v>34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43</v>
      </c>
      <c r="AF9" t="s">
        <v>40</v>
      </c>
      <c r="AG9" t="s">
        <v>43</v>
      </c>
      <c r="AH9" t="s">
        <v>41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1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1</v>
      </c>
      <c r="N12" s="10">
        <v>1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1</v>
      </c>
      <c r="E13" s="10">
        <v>1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D2_0[8]={0x00,0x00,0x10,0x0E,0x00,0x03,0xC0,0x00};</v>
      </c>
    </row>
    <row r="14" spans="1:35" x14ac:dyDescent="0.25">
      <c r="A14">
        <v>11</v>
      </c>
      <c r="B14" s="10">
        <v>0</v>
      </c>
      <c r="C14" s="10">
        <v>0</v>
      </c>
      <c r="D14" s="10">
        <v>1</v>
      </c>
      <c r="E14" s="10">
        <v>1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1">_xlfn.CONCAT("0x",T3)</f>
        <v>0x10</v>
      </c>
      <c r="U14" t="str">
        <f t="shared" si="11"/>
        <v>0x30</v>
      </c>
      <c r="V14" t="str">
        <f t="shared" si="11"/>
        <v>0x30</v>
      </c>
      <c r="W14" t="str">
        <f t="shared" si="11"/>
        <v>0x30</v>
      </c>
      <c r="X14" t="str">
        <f t="shared" si="11"/>
        <v>0x03</v>
      </c>
      <c r="Y14" t="str">
        <f t="shared" si="11"/>
        <v>0x03</v>
      </c>
      <c r="Z14" t="str">
        <f t="shared" si="11"/>
        <v>0x01</v>
      </c>
      <c r="AA14" t="str">
        <f t="shared" si="11"/>
        <v>0x00</v>
      </c>
      <c r="AC14" t="str">
        <f t="shared" ref="AC14:AC20" si="12">_xlfn.CONCAT("const uint8_t ",AC3,"_",$AB$1,"[8]={0x00,0x00,",AD3,",",AE3,",",AF3,",",AG3,",",AH3,",",AI3,"};")</f>
        <v>const uint8_t C2_0[8]={0x00,0x00,0x30,0x08,0x00,0x00,0xE0,0x00};</v>
      </c>
    </row>
    <row r="15" spans="1:35" x14ac:dyDescent="0.25">
      <c r="A15">
        <v>12</v>
      </c>
      <c r="B15" s="10">
        <v>0</v>
      </c>
      <c r="C15" s="10">
        <v>0</v>
      </c>
      <c r="D15" s="10">
        <v>1</v>
      </c>
      <c r="E15" s="10">
        <v>1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1"/>
        <v>0x0E</v>
      </c>
      <c r="U15" t="str">
        <f t="shared" si="11"/>
        <v>0x08</v>
      </c>
      <c r="V15" t="str">
        <f t="shared" si="11"/>
        <v>0x30</v>
      </c>
      <c r="W15" t="str">
        <f t="shared" si="11"/>
        <v>0xF0</v>
      </c>
      <c r="X15" t="str">
        <f t="shared" si="11"/>
        <v>0x03</v>
      </c>
      <c r="Y15" t="str">
        <f t="shared" si="11"/>
        <v>0x80</v>
      </c>
      <c r="Z15" t="str">
        <f t="shared" si="11"/>
        <v>0xE0</v>
      </c>
      <c r="AA15" t="str">
        <f t="shared" si="11"/>
        <v>0xF0</v>
      </c>
      <c r="AC15" t="str">
        <f t="shared" si="12"/>
        <v>const uint8_t B2_0[8]={0x00,0x00,0x30,0x30,0x0F,0xE0,0x60,0x00};</v>
      </c>
    </row>
    <row r="16" spans="1:35" x14ac:dyDescent="0.25">
      <c r="A16">
        <v>13</v>
      </c>
      <c r="B16" s="10">
        <v>0</v>
      </c>
      <c r="C16" s="10">
        <v>0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1"/>
        <v>0x00</v>
      </c>
      <c r="U16" t="str">
        <f t="shared" si="11"/>
        <v>0x00</v>
      </c>
      <c r="V16" t="str">
        <f t="shared" si="11"/>
        <v>0x0F</v>
      </c>
      <c r="W16" t="str">
        <f t="shared" si="11"/>
        <v>0x0F</v>
      </c>
      <c r="X16" t="str">
        <f t="shared" si="11"/>
        <v>0xF0</v>
      </c>
      <c r="Y16" t="str">
        <f t="shared" si="11"/>
        <v>0x00</v>
      </c>
      <c r="Z16" t="str">
        <f t="shared" si="11"/>
        <v>0x00</v>
      </c>
      <c r="AA16" t="str">
        <f t="shared" si="11"/>
        <v>0x0F</v>
      </c>
      <c r="AC16" t="str">
        <f t="shared" si="12"/>
        <v>const uint8_t A2_0[8]={0x00,0x00,0x30,0xF0,0x0F,0xF0,0x68,0x00};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T17" t="str">
        <f t="shared" si="11"/>
        <v>0x03</v>
      </c>
      <c r="U17" t="str">
        <f t="shared" si="11"/>
        <v>0x00</v>
      </c>
      <c r="V17" t="str">
        <f t="shared" si="11"/>
        <v>0xE0</v>
      </c>
      <c r="W17" t="str">
        <f t="shared" si="11"/>
        <v>0xF0</v>
      </c>
      <c r="X17" t="str">
        <f t="shared" si="11"/>
        <v>0x0E</v>
      </c>
      <c r="Y17" t="str">
        <f t="shared" si="11"/>
        <v>0x00</v>
      </c>
      <c r="Z17" t="str">
        <f t="shared" si="11"/>
        <v>0x30</v>
      </c>
      <c r="AA17" t="str">
        <f t="shared" si="11"/>
        <v>0xF0</v>
      </c>
      <c r="AC17" t="str">
        <f t="shared" si="12"/>
        <v>const uint8_t D1_0[8]={0x00,0x00,0x03,0x03,0xF0,0x0E,0x06,0x00};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1"/>
        <v>0xC0</v>
      </c>
      <c r="U18" t="str">
        <f t="shared" si="11"/>
        <v>0xE0</v>
      </c>
      <c r="V18" t="str">
        <f t="shared" si="11"/>
        <v>0x60</v>
      </c>
      <c r="W18" t="str">
        <f t="shared" si="11"/>
        <v>0x68</v>
      </c>
      <c r="X18" t="str">
        <f t="shared" si="11"/>
        <v>0x06</v>
      </c>
      <c r="Y18" t="str">
        <f t="shared" si="11"/>
        <v>0x0E</v>
      </c>
      <c r="Z18" t="str">
        <f t="shared" si="11"/>
        <v>0x0C</v>
      </c>
      <c r="AA18" t="str">
        <f t="shared" si="11"/>
        <v>0x08</v>
      </c>
      <c r="AC18" t="str">
        <f t="shared" si="12"/>
        <v>const uint8_t C1_0[8]={0x00,0x00,0x03,0x80,0x00,0x00,0x0E,0x00};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1"/>
        <v>0x00</v>
      </c>
      <c r="U19" t="str">
        <f t="shared" si="11"/>
        <v>0x00</v>
      </c>
      <c r="V19" t="str">
        <f t="shared" si="11"/>
        <v>0x00</v>
      </c>
      <c r="W19" t="str">
        <f t="shared" si="11"/>
        <v>0x00</v>
      </c>
      <c r="X19" t="str">
        <f t="shared" si="11"/>
        <v>0x00</v>
      </c>
      <c r="Y19" t="str">
        <f t="shared" si="11"/>
        <v>0x00</v>
      </c>
      <c r="Z19" t="str">
        <f t="shared" si="11"/>
        <v>0x00</v>
      </c>
      <c r="AA19" t="str">
        <f t="shared" si="11"/>
        <v>0x00</v>
      </c>
      <c r="AC19" t="str">
        <f t="shared" si="12"/>
        <v>const uint8_t B1_0[8]={0x00,0x00,0x01,0xE0,0x00,0x30,0x0C,0x00};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2"/>
        <v>const uint8_t A1_0[8]={0x00,0x00,0x00,0xF0,0x0F,0xF0,0x08,0x00};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88" priority="1" operator="equal">
      <formula>2</formula>
    </cfRule>
    <cfRule type="cellIs" dxfId="187" priority="2" operator="equal">
      <formula>1</formula>
    </cfRule>
    <cfRule type="cellIs" dxfId="186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E1442-2B0B-45AB-AE78-6A2991751EE9}">
  <sheetPr codeName="Planilha7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41</v>
      </c>
      <c r="AF2" t="s">
        <v>37</v>
      </c>
      <c r="AG2" t="s">
        <v>37</v>
      </c>
      <c r="AH2" t="s">
        <v>88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10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00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33</v>
      </c>
      <c r="AE3" t="s">
        <v>41</v>
      </c>
      <c r="AF3" t="s">
        <v>37</v>
      </c>
      <c r="AG3" t="s">
        <v>37</v>
      </c>
      <c r="AH3" t="s">
        <v>88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08</v>
      </c>
      <c r="U4" s="28" t="str">
        <f>DEC2HEX(C10*2^4+C9*2^5+C8*2^6+C7*2^7+G10*2^0+G9*2^1+G8*2^2+G7*2^3,2)</f>
        <v>08</v>
      </c>
      <c r="V4" s="28" t="str">
        <f>DEC2HEX(D10*2^4+D9*2^5+D8*2^6+D7*2^7+H10*2^0+H9*2^1+H8*2^2+H7*2^3,2)</f>
        <v>00</v>
      </c>
      <c r="W4" s="28" t="str">
        <f>DEC2HEX(E10*2^4+E9*2^5+E8*2^6+E7*2^7+I10*2^0+I9*2^1+I8*2^2+I7*2^3,2)</f>
        <v>0F</v>
      </c>
      <c r="X4" s="28" t="str">
        <f>DEC2HEX(J10*2^4+J9*2^5+J8*2^6+J7*2^7+N10*2^0+N9*2^1+N8*2^2+N7*2^3,2)</f>
        <v>F0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34</v>
      </c>
      <c r="AE4" t="s">
        <v>37</v>
      </c>
      <c r="AF4" t="s">
        <v>37</v>
      </c>
      <c r="AG4" t="s">
        <v>37</v>
      </c>
      <c r="AH4" t="s">
        <v>88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1</v>
      </c>
      <c r="I5" s="10">
        <v>1</v>
      </c>
      <c r="J5" s="10">
        <v>1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00</v>
      </c>
      <c r="V5" s="28" t="str">
        <f>DEC2HEX(D14*2^0+D13*2^1+D12*2^2+D11*2^3+H14*2^4+H13*2^5+H12*2^6+H11*2^7,2)</f>
        <v>00</v>
      </c>
      <c r="W5" s="28" t="str">
        <f t="shared" ref="W5" si="2">DEC2HEX(E14*2^0+E13*2^1+E12*2^2+E11*2^3+I14*2^4+I13*2^5+I12*2^6+I11*2^7,2)</f>
        <v>F0</v>
      </c>
      <c r="X5" s="28" t="str">
        <f t="shared" ref="X5:Y5" si="3">DEC2HEX(J14*2^0+J13*2^1+J12*2^2+J11*2^3+N14*2^4+N13*2^5+N12*2^6+N11*2^7,2)</f>
        <v>0F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34</v>
      </c>
      <c r="AE5" t="s">
        <v>40</v>
      </c>
      <c r="AF5" t="s">
        <v>43</v>
      </c>
      <c r="AG5" t="s">
        <v>40</v>
      </c>
      <c r="AH5" t="s">
        <v>38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1</v>
      </c>
      <c r="H6" s="10">
        <v>1</v>
      </c>
      <c r="I6" s="10">
        <v>1</v>
      </c>
      <c r="J6" s="10">
        <v>1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00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0F</v>
      </c>
      <c r="X6" s="28" t="str">
        <f t="shared" ref="X6:Y6" si="6">DEC2HEX(J18*2^4+J17*2^5+J16*2^6+J15*2^7+N18*2^0+N17*2^1+N16*2^2+N15*2^3,2)</f>
        <v>F0</v>
      </c>
      <c r="Y6" s="28" t="str">
        <f t="shared" si="6"/>
        <v>00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35</v>
      </c>
      <c r="AE6" t="s">
        <v>43</v>
      </c>
      <c r="AF6" t="s">
        <v>40</v>
      </c>
      <c r="AG6" t="s">
        <v>43</v>
      </c>
      <c r="AH6" t="s">
        <v>42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1</v>
      </c>
      <c r="G7" s="10">
        <v>1</v>
      </c>
      <c r="H7" s="10">
        <v>0</v>
      </c>
      <c r="I7" s="10">
        <v>1</v>
      </c>
      <c r="J7" s="10">
        <v>1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20</v>
      </c>
      <c r="U7" s="28" t="str">
        <f t="shared" si="7"/>
        <v>20</v>
      </c>
      <c r="V7" s="28" t="str">
        <f>DEC2HEX(D22*2^0+D21*2^1+D20*2^2+D19*2^3+H22*2^4+H21*2^5+H20*2^6+H19*2^7,2)</f>
        <v>20</v>
      </c>
      <c r="W7" s="28" t="str">
        <f t="shared" ref="W7" si="8">DEC2HEX(E22*2^0+E21*2^1+E20*2^2+E19*2^3+I22*2^4+I21*2^5+I20*2^6+I19*2^7,2)</f>
        <v>E0</v>
      </c>
      <c r="X7" s="28" t="str">
        <f t="shared" ref="X7:Y7" si="9">DEC2HEX(J22*2^0+J21*2^1+J20*2^2+J19*2^3+N22*2^4+N21*2^5+N20*2^6+N19*2^7,2)</f>
        <v>0E</v>
      </c>
      <c r="Y7" s="28" t="str">
        <f t="shared" si="9"/>
        <v>02</v>
      </c>
      <c r="Z7" s="28" t="str">
        <f>DEC2HEX(L22*2^0+L21*2^1+L20*2^2+L19*2^3+P22*2^4+P21*2^5+P20*2^6+P19*2^7,2)</f>
        <v>02</v>
      </c>
      <c r="AA7" s="28" t="str">
        <f>DEC2HEX(M22*2^0+M21*2^1+M20*2^2+M19*2^3+Q22*2^4+Q21*2^5+Q20*2^6+Q19*2^7,2)</f>
        <v>02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49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1</v>
      </c>
      <c r="J8" s="10">
        <v>1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49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49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1</v>
      </c>
      <c r="J10" s="10">
        <v>1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1</v>
      </c>
      <c r="J11" s="10">
        <v>1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1</v>
      </c>
      <c r="J12" s="10">
        <v>1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1</v>
      </c>
      <c r="J13" s="10">
        <v>1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D2_1[8]={0x00,0x00,0x00,0x08,0x00,0x00,0x20,0x00};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0x00</v>
      </c>
      <c r="U14" t="str">
        <f t="shared" si="13"/>
        <v>0x10</v>
      </c>
      <c r="V14" t="str">
        <f t="shared" si="13"/>
        <v>0x30</v>
      </c>
      <c r="W14" t="str">
        <f t="shared" si="13"/>
        <v>0x30</v>
      </c>
      <c r="X14" t="str">
        <f t="shared" si="13"/>
        <v>0x03</v>
      </c>
      <c r="Y14" t="str">
        <f t="shared" si="13"/>
        <v>0x00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C2_1[8]={0x00,0x00,0x10,0x08,0x00,0x00,0x20,0x00};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1</v>
      </c>
      <c r="J15" s="10">
        <v>1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0x08</v>
      </c>
      <c r="U15" t="str">
        <f t="shared" si="13"/>
        <v>0x08</v>
      </c>
      <c r="V15" t="str">
        <f t="shared" si="13"/>
        <v>0x00</v>
      </c>
      <c r="W15" t="str">
        <f t="shared" si="13"/>
        <v>0x0F</v>
      </c>
      <c r="X15" t="str">
        <f t="shared" si="13"/>
        <v>0xF0</v>
      </c>
      <c r="Y15" t="str">
        <f t="shared" si="13"/>
        <v>0x00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B2_1[8]={0x00,0x00,0x30,0x00,0x00,0x00,0x20,0x00};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0x00</v>
      </c>
      <c r="V16" t="str">
        <f t="shared" si="13"/>
        <v>0x00</v>
      </c>
      <c r="W16" t="str">
        <f t="shared" si="13"/>
        <v>0xF0</v>
      </c>
      <c r="X16" t="str">
        <f t="shared" si="13"/>
        <v>0x0F</v>
      </c>
      <c r="Y16" t="str">
        <f t="shared" si="13"/>
        <v>0x00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A2_1[8]={0x00,0x00,0x30,0x0F,0xF0,0x0F,0xE0,0x00};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1</v>
      </c>
      <c r="J17" s="10">
        <v>1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0x00</v>
      </c>
      <c r="V17" t="str">
        <f t="shared" si="13"/>
        <v>0x00</v>
      </c>
      <c r="W17" t="str">
        <f t="shared" si="13"/>
        <v>0x0F</v>
      </c>
      <c r="X17" t="str">
        <f t="shared" si="13"/>
        <v>0xF0</v>
      </c>
      <c r="Y17" t="str">
        <f t="shared" si="13"/>
        <v>0x00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D1_1[8]={0x00,0x00,0x03,0xF0,0x0F,0xF0,0x0E,0x00};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1</v>
      </c>
      <c r="J18" s="10">
        <v>1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0x20</v>
      </c>
      <c r="U18" t="str">
        <f t="shared" si="13"/>
        <v>0x20</v>
      </c>
      <c r="V18" t="str">
        <f t="shared" si="13"/>
        <v>0x20</v>
      </c>
      <c r="W18" t="str">
        <f t="shared" si="13"/>
        <v>0xE0</v>
      </c>
      <c r="X18" t="str">
        <f t="shared" si="13"/>
        <v>0x0E</v>
      </c>
      <c r="Y18" t="str">
        <f t="shared" si="13"/>
        <v>0x02</v>
      </c>
      <c r="Z18" t="str">
        <f t="shared" si="13"/>
        <v>0x02</v>
      </c>
      <c r="AA18" t="str">
        <f t="shared" si="13"/>
        <v>0x02</v>
      </c>
      <c r="AC18" t="str">
        <f t="shared" si="14"/>
        <v>const uint8_t C1_1[8]={0x00,0x00,0x00,0x00,0x00,0x00,0x02,0x00};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1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B1_1[8]={0x00,0x00,0x00,0x00,0x00,0x00,0x02,0x00};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A1_1[8]={0x00,0x00,0x00,0x00,0x00,0x00,0x02,0x00};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85" priority="1" operator="equal">
      <formula>2</formula>
    </cfRule>
    <cfRule type="cellIs" dxfId="184" priority="2" operator="equal">
      <formula>1</formula>
    </cfRule>
    <cfRule type="cellIs" dxfId="183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FA9D-BDF3-400D-978C-65C712979FF4}">
  <sheetPr codeName="Planilha8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41</v>
      </c>
      <c r="AF2" t="s">
        <v>37</v>
      </c>
      <c r="AG2" t="s">
        <v>35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31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01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37</v>
      </c>
      <c r="AF3" t="s">
        <v>37</v>
      </c>
      <c r="AG3" t="s">
        <v>62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08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C0</v>
      </c>
      <c r="W4" s="28" t="str">
        <f>DEC2HEX(E10*2^4+E9*2^5+E8*2^6+E7*2^7+I10*2^0+I9*2^1+I8*2^2+I7*2^3,2)</f>
        <v>C0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F0</v>
      </c>
      <c r="AC4" t="s">
        <v>29</v>
      </c>
      <c r="AD4" t="s">
        <v>34</v>
      </c>
      <c r="AE4" t="s">
        <v>44</v>
      </c>
      <c r="AF4" t="s">
        <v>37</v>
      </c>
      <c r="AG4" t="s">
        <v>42</v>
      </c>
      <c r="AH4" t="s">
        <v>52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00</v>
      </c>
      <c r="V5" s="28" t="str">
        <f>DEC2HEX(D14*2^0+D13*2^1+D12*2^2+D11*2^3+H14*2^4+H13*2^5+H12*2^6+H11*2^7,2)</f>
        <v>00</v>
      </c>
      <c r="W5" s="28" t="str">
        <f t="shared" ref="W5" si="2">DEC2HEX(E14*2^0+E13*2^1+E12*2^2+E11*2^3+I14*2^4+I13*2^5+I12*2^6+I11*2^7,2)</f>
        <v>10</v>
      </c>
      <c r="X5" s="28" t="str">
        <f t="shared" ref="X5:Y5" si="3">DEC2HEX(J14*2^0+J13*2^1+J12*2^2+J11*2^3+N14*2^4+N13*2^5+N12*2^6+N11*2^7,2)</f>
        <v>03</v>
      </c>
      <c r="Y5" s="28" t="str">
        <f t="shared" si="3"/>
        <v>0F</v>
      </c>
      <c r="Z5" s="28" t="str">
        <f>DEC2HEX(L14*2^0+L13*2^1+L12*2^2+L11*2^3+P14*2^4+P13*2^5+P12*2^6+P11*2^7,2)</f>
        <v>0E</v>
      </c>
      <c r="AA5" s="28" t="str">
        <f>DEC2HEX(M14*2^0+M13*2^1+M12*2^2+M11*2^3+Q14*2^4+Q13*2^5+Q12*2^6+Q11*2^7,2)</f>
        <v>08</v>
      </c>
      <c r="AC5" t="s">
        <v>2</v>
      </c>
      <c r="AD5" t="s">
        <v>53</v>
      </c>
      <c r="AE5" t="s">
        <v>44</v>
      </c>
      <c r="AF5" t="s">
        <v>33</v>
      </c>
      <c r="AG5" t="s">
        <v>61</v>
      </c>
      <c r="AH5" t="s">
        <v>54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03</v>
      </c>
      <c r="U6" s="28" t="str">
        <f t="shared" si="4"/>
        <v>07</v>
      </c>
      <c r="V6" s="28" t="str">
        <f>DEC2HEX(D18*2^4+D17*2^5+D16*2^6+D15*2^7+H18*2^0+H17*2^1+H16*2^2+H15*2^3,2)</f>
        <v>0E</v>
      </c>
      <c r="W6" s="28" t="str">
        <f t="shared" ref="W6" si="5">DEC2HEX(E18*2^4+E17*2^5+E16*2^6+E15*2^7+I18*2^0+I17*2^1+I16*2^2+I15*2^3,2)</f>
        <v>1C</v>
      </c>
      <c r="X6" s="28" t="str">
        <f t="shared" ref="X6:Y6" si="6">DEC2HEX(J18*2^4+J17*2^5+J16*2^6+J15*2^7+N18*2^0+N17*2^1+N16*2^2+N15*2^3,2)</f>
        <v>80</v>
      </c>
      <c r="Y6" s="28" t="str">
        <f t="shared" si="6"/>
        <v>00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35</v>
      </c>
      <c r="AE6" t="s">
        <v>37</v>
      </c>
      <c r="AF6" t="s">
        <v>35</v>
      </c>
      <c r="AG6" t="s">
        <v>39</v>
      </c>
      <c r="AH6" t="s">
        <v>52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E0</v>
      </c>
      <c r="U7" s="28" t="str">
        <f t="shared" si="7"/>
        <v>60</v>
      </c>
      <c r="V7" s="28" t="str">
        <f>DEC2HEX(D22*2^0+D21*2^1+D20*2^2+D19*2^3+H22*2^4+H21*2^5+H20*2^6+H19*2^7,2)</f>
        <v>66</v>
      </c>
      <c r="W7" s="28" t="str">
        <f t="shared" ref="W7" si="8">DEC2HEX(E22*2^0+E21*2^1+E20*2^2+E19*2^3+I22*2^4+I21*2^5+I20*2^6+I19*2^7,2)</f>
        <v>6E</v>
      </c>
      <c r="X7" s="28" t="str">
        <f t="shared" ref="X7:Y7" si="9">DEC2HEX(J22*2^0+J21*2^1+J20*2^2+J19*2^3+N22*2^4+N21*2^5+N20*2^6+N19*2^7,2)</f>
        <v>66</v>
      </c>
      <c r="Y7" s="28" t="str">
        <f t="shared" si="9"/>
        <v>06</v>
      </c>
      <c r="Z7" s="28" t="str">
        <f>DEC2HEX(L22*2^0+L21*2^1+L20*2^2+L19*2^3+P22*2^4+P21*2^5+P20*2^6+P19*2^7,2)</f>
        <v>06</v>
      </c>
      <c r="AA7" s="28" t="str">
        <f>DEC2HEX(M22*2^0+M21*2^1+M20*2^2+M19*2^3+Q22*2^4+Q21*2^5+Q20*2^6+Q19*2^7,2)</f>
        <v>06</v>
      </c>
      <c r="AC7" t="s">
        <v>31</v>
      </c>
      <c r="AD7" t="s">
        <v>36</v>
      </c>
      <c r="AE7" t="s">
        <v>39</v>
      </c>
      <c r="AF7" t="s">
        <v>40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43</v>
      </c>
      <c r="AF8" t="s">
        <v>42</v>
      </c>
      <c r="AG8" t="s">
        <v>37</v>
      </c>
      <c r="AH8" t="s">
        <v>47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43</v>
      </c>
      <c r="AF9" t="s">
        <v>41</v>
      </c>
      <c r="AG9" t="s">
        <v>37</v>
      </c>
      <c r="AH9" t="s">
        <v>47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1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D2_2[8]={0x00,0x00,0x30,0x08,0x00,0x03,0xE0,0x00};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1</v>
      </c>
      <c r="J14" s="10">
        <v>1</v>
      </c>
      <c r="K14" s="10">
        <v>1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0x30</v>
      </c>
      <c r="V14" t="str">
        <f t="shared" si="13"/>
        <v>0x30</v>
      </c>
      <c r="W14" t="str">
        <f t="shared" si="13"/>
        <v>0x31</v>
      </c>
      <c r="X14" t="str">
        <f t="shared" si="13"/>
        <v>0x03</v>
      </c>
      <c r="Y14" t="str">
        <f t="shared" si="13"/>
        <v>0x01</v>
      </c>
      <c r="Z14" t="str">
        <f t="shared" si="13"/>
        <v>0x01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C2_2[8]={0x00,0x00,0x30,0x00,0x00,0x07,0x60,0x00};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1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0x08</v>
      </c>
      <c r="U15" t="str">
        <f t="shared" si="13"/>
        <v>0x00</v>
      </c>
      <c r="V15" t="str">
        <f t="shared" si="13"/>
        <v>0xC0</v>
      </c>
      <c r="W15" t="str">
        <f t="shared" si="13"/>
        <v>0xC0</v>
      </c>
      <c r="X15" t="str">
        <f t="shared" si="13"/>
        <v>0x00</v>
      </c>
      <c r="Y15" t="str">
        <f t="shared" si="13"/>
        <v>0x80</v>
      </c>
      <c r="Z15" t="str">
        <f t="shared" si="13"/>
        <v>0xF0</v>
      </c>
      <c r="AA15" t="str">
        <f t="shared" si="13"/>
        <v>0xF0</v>
      </c>
      <c r="AC15" t="str">
        <f t="shared" si="14"/>
        <v>const uint8_t B2_2[8]={0x00,0x00,0x30,0xC0,0x00,0x0E,0x66,0x00};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1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0x00</v>
      </c>
      <c r="V16" t="str">
        <f t="shared" si="13"/>
        <v>0x00</v>
      </c>
      <c r="W16" t="str">
        <f t="shared" si="13"/>
        <v>0x10</v>
      </c>
      <c r="X16" t="str">
        <f t="shared" si="13"/>
        <v>0x03</v>
      </c>
      <c r="Y16" t="str">
        <f t="shared" si="13"/>
        <v>0x0F</v>
      </c>
      <c r="Z16" t="str">
        <f t="shared" si="13"/>
        <v>0x0E</v>
      </c>
      <c r="AA16" t="str">
        <f t="shared" si="13"/>
        <v>0x08</v>
      </c>
      <c r="AC16" t="str">
        <f t="shared" si="14"/>
        <v>const uint8_t A2_2[8]={0x00,0x00,0x31,0xC0,0x10,0x1C,0x6E,0x00};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1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0x03</v>
      </c>
      <c r="U17" t="str">
        <f t="shared" si="13"/>
        <v>0x07</v>
      </c>
      <c r="V17" t="str">
        <f t="shared" si="13"/>
        <v>0x0E</v>
      </c>
      <c r="W17" t="str">
        <f t="shared" si="13"/>
        <v>0x1C</v>
      </c>
      <c r="X17" t="str">
        <f t="shared" si="13"/>
        <v>0x80</v>
      </c>
      <c r="Y17" t="str">
        <f t="shared" si="13"/>
        <v>0x00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D1_2[8]={0x00,0x00,0x03,0x00,0x03,0x80,0x66,0x00};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1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0xE0</v>
      </c>
      <c r="U18" t="str">
        <f t="shared" si="13"/>
        <v>0x60</v>
      </c>
      <c r="V18" t="str">
        <f t="shared" si="13"/>
        <v>0x66</v>
      </c>
      <c r="W18" t="str">
        <f t="shared" si="13"/>
        <v>0x6E</v>
      </c>
      <c r="X18" t="str">
        <f t="shared" si="13"/>
        <v>0x66</v>
      </c>
      <c r="Y18" t="str">
        <f t="shared" si="13"/>
        <v>0x06</v>
      </c>
      <c r="Z18" t="str">
        <f t="shared" si="13"/>
        <v>0x06</v>
      </c>
      <c r="AA18" t="str">
        <f t="shared" si="13"/>
        <v>0x06</v>
      </c>
      <c r="AC18" t="str">
        <f t="shared" si="14"/>
        <v>const uint8_t C1_2[8]={0x00,0x00,0x01,0x80,0x0F,0x00,0x06,0x00};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B1_2[8]={0x00,0x00,0x01,0xF0,0x0E,0x00,0x06,0x00};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1</v>
      </c>
      <c r="O20" s="10">
        <v>0</v>
      </c>
      <c r="P20" s="10">
        <v>0</v>
      </c>
      <c r="Q20" s="10">
        <v>0</v>
      </c>
      <c r="AC20" t="str">
        <f t="shared" si="14"/>
        <v>const uint8_t A1_2[8]={0x00,0x00,0x00,0xF0,0x08,0x00,0x06,0x00};</v>
      </c>
    </row>
    <row r="21" spans="1:29" x14ac:dyDescent="0.25">
      <c r="A21">
        <v>18</v>
      </c>
      <c r="B21" s="10">
        <v>0</v>
      </c>
      <c r="C21" s="10">
        <v>0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1</v>
      </c>
      <c r="N21" s="10">
        <v>1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82" priority="1" operator="equal">
      <formula>2</formula>
    </cfRule>
    <cfRule type="cellIs" dxfId="181" priority="2" operator="equal">
      <formula>1</formula>
    </cfRule>
    <cfRule type="cellIs" dxfId="180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451CE-9847-4AE2-98B7-F6B54837F6C7}">
  <sheetPr codeName="Planilha9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31</v>
      </c>
      <c r="W3" s="28" t="str">
        <f>DEC2HEX(E6*2^0+E5*2^1+E4*2^2+E3*2^3+I6*2^4+I5*2^5+I4*2^6+I3*2^7,2)</f>
        <v>31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37</v>
      </c>
      <c r="AF3" t="s">
        <v>45</v>
      </c>
      <c r="AG3" t="s">
        <v>37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80</v>
      </c>
      <c r="W4" s="28" t="str">
        <f>DEC2HEX(E10*2^4+E9*2^5+E8*2^6+E7*2^7+I10*2^0+I9*2^1+I8*2^2+I7*2^3,2)</f>
        <v>80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90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F0</v>
      </c>
      <c r="AC4" t="s">
        <v>29</v>
      </c>
      <c r="AD4" t="s">
        <v>53</v>
      </c>
      <c r="AE4" t="s">
        <v>39</v>
      </c>
      <c r="AF4" t="s">
        <v>45</v>
      </c>
      <c r="AG4" t="s">
        <v>37</v>
      </c>
      <c r="AH4" t="s">
        <v>55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60</v>
      </c>
      <c r="V5" s="28" t="str">
        <f>DEC2HEX(D14*2^0+D13*2^1+D12*2^2+D11*2^3+H14*2^4+H13*2^5+H12*2^6+H11*2^7,2)</f>
        <v>60</v>
      </c>
      <c r="W5" s="28" t="str">
        <f t="shared" ref="W5" si="2">DEC2HEX(E14*2^0+E13*2^1+E12*2^2+E11*2^3+I14*2^4+I13*2^5+I12*2^6+I11*2^7,2)</f>
        <v>60</v>
      </c>
      <c r="X5" s="28" t="str">
        <f t="shared" ref="X5:Y5" si="3">DEC2HEX(J14*2^0+J13*2^1+J12*2^2+J11*2^3+N14*2^4+N13*2^5+N12*2^6+N11*2^7,2)</f>
        <v>0E</v>
      </c>
      <c r="Y5" s="28" t="str">
        <f t="shared" si="3"/>
        <v>0A</v>
      </c>
      <c r="Z5" s="28" t="str">
        <f>DEC2HEX(L14*2^0+L13*2^1+L12*2^2+L11*2^3+P14*2^4+P13*2^5+P12*2^6+P11*2^7,2)</f>
        <v>0B</v>
      </c>
      <c r="AA5" s="28" t="str">
        <f>DEC2HEX(M14*2^0+M13*2^1+M12*2^2+M11*2^3+Q14*2^4+Q13*2^5+Q12*2^6+Q11*2^7,2)</f>
        <v>01</v>
      </c>
      <c r="AC5" t="s">
        <v>2</v>
      </c>
      <c r="AD5" t="s">
        <v>53</v>
      </c>
      <c r="AE5" t="s">
        <v>39</v>
      </c>
      <c r="AF5" t="s">
        <v>45</v>
      </c>
      <c r="AG5" t="s">
        <v>37</v>
      </c>
      <c r="AH5" t="s">
        <v>54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00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0F</v>
      </c>
      <c r="Y6" s="28" t="str">
        <f t="shared" si="6"/>
        <v>00</v>
      </c>
      <c r="Z6" s="28" t="str">
        <f>DEC2HEX(L18*2^4+L17*2^5+L16*2^6+L15*2^7+P18*2^0+P17*2^1+P16*2^2+P15*2^3,2)</f>
        <v>10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37</v>
      </c>
      <c r="AF6" t="s">
        <v>42</v>
      </c>
      <c r="AG6" t="s">
        <v>40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60</v>
      </c>
      <c r="V7" s="28" t="str">
        <f>DEC2HEX(D22*2^0+D21*2^1+D20*2^2+D19*2^3+H22*2^4+H21*2^5+H20*2^6+H19*2^7,2)</f>
        <v>6C</v>
      </c>
      <c r="W7" s="28" t="str">
        <f t="shared" ref="W7" si="8">DEC2HEX(E22*2^0+E21*2^1+E20*2^2+E19*2^3+I22*2^4+I21*2^5+I20*2^6+I19*2^7,2)</f>
        <v>6E</v>
      </c>
      <c r="X7" s="28" t="str">
        <f t="shared" ref="X7:Y7" si="9">DEC2HEX(J22*2^0+J21*2^1+J20*2^2+J19*2^3+N22*2^4+N21*2^5+N20*2^6+N19*2^7,2)</f>
        <v>06</v>
      </c>
      <c r="Y7" s="28" t="str">
        <f t="shared" si="9"/>
        <v>0E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0C</v>
      </c>
      <c r="AC7" t="s">
        <v>31</v>
      </c>
      <c r="AD7" t="s">
        <v>35</v>
      </c>
      <c r="AE7" t="s">
        <v>66</v>
      </c>
      <c r="AF7" t="s">
        <v>57</v>
      </c>
      <c r="AG7" t="s">
        <v>37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43</v>
      </c>
      <c r="AF8" t="s">
        <v>58</v>
      </c>
      <c r="AG8" t="s">
        <v>33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43</v>
      </c>
      <c r="AF9" t="s">
        <v>36</v>
      </c>
      <c r="AG9" t="s">
        <v>43</v>
      </c>
      <c r="AH9" t="s">
        <v>48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1</v>
      </c>
      <c r="H12" s="10">
        <v>1</v>
      </c>
      <c r="I12" s="10">
        <v>1</v>
      </c>
      <c r="J12" s="10">
        <v>1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D2_3[8]={0x00,0x00,0x30,0x00,0x00,0x00,0x60,0x00};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0x30</v>
      </c>
      <c r="V14" t="str">
        <f t="shared" si="13"/>
        <v>0x31</v>
      </c>
      <c r="W14" t="str">
        <f t="shared" si="13"/>
        <v>0x31</v>
      </c>
      <c r="X14" t="str">
        <f t="shared" si="13"/>
        <v>0x03</v>
      </c>
      <c r="Y14" t="str">
        <f t="shared" si="13"/>
        <v>0x03</v>
      </c>
      <c r="Z14" t="str">
        <f t="shared" si="13"/>
        <v>0x01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C2_3[8]={0x00,0x00,0x30,0x00,0x60,0x00,0x60,0x00};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0x00</v>
      </c>
      <c r="V15" t="str">
        <f t="shared" si="13"/>
        <v>0x80</v>
      </c>
      <c r="W15" t="str">
        <f t="shared" si="13"/>
        <v>0x80</v>
      </c>
      <c r="X15" t="str">
        <f t="shared" si="13"/>
        <v>0x00</v>
      </c>
      <c r="Y15" t="str">
        <f t="shared" si="13"/>
        <v>0x90</v>
      </c>
      <c r="Z15" t="str">
        <f t="shared" si="13"/>
        <v>0xF0</v>
      </c>
      <c r="AA15" t="str">
        <f t="shared" si="13"/>
        <v>0xF0</v>
      </c>
      <c r="AC15" t="str">
        <f t="shared" si="14"/>
        <v>const uint8_t B2_3[8]={0x00,0x00,0x31,0x80,0x60,0x00,0x6C,0x00};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0x60</v>
      </c>
      <c r="V16" t="str">
        <f t="shared" si="13"/>
        <v>0x60</v>
      </c>
      <c r="W16" t="str">
        <f t="shared" si="13"/>
        <v>0x60</v>
      </c>
      <c r="X16" t="str">
        <f t="shared" si="13"/>
        <v>0x0E</v>
      </c>
      <c r="Y16" t="str">
        <f t="shared" si="13"/>
        <v>0x0A</v>
      </c>
      <c r="Z16" t="str">
        <f t="shared" si="13"/>
        <v>0x0B</v>
      </c>
      <c r="AA16" t="str">
        <f t="shared" si="13"/>
        <v>0x01</v>
      </c>
      <c r="AC16" t="str">
        <f t="shared" si="14"/>
        <v>const uint8_t A2_3[8]={0x00,0x00,0x31,0x80,0x60,0x00,0x6E,0x00};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0x00</v>
      </c>
      <c r="V17" t="str">
        <f t="shared" si="13"/>
        <v>0x00</v>
      </c>
      <c r="W17" t="str">
        <f t="shared" si="13"/>
        <v>0x00</v>
      </c>
      <c r="X17" t="str">
        <f t="shared" si="13"/>
        <v>0x0F</v>
      </c>
      <c r="Y17" t="str">
        <f t="shared" si="13"/>
        <v>0x00</v>
      </c>
      <c r="Z17" t="str">
        <f t="shared" si="13"/>
        <v>0x10</v>
      </c>
      <c r="AA17" t="str">
        <f t="shared" si="13"/>
        <v>0xF0</v>
      </c>
      <c r="AC17" t="str">
        <f t="shared" si="14"/>
        <v>const uint8_t D1_3[8]={0x00,0x00,0x03,0x00,0x0E,0x0F,0x06,0x00};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1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0x60</v>
      </c>
      <c r="V18" t="str">
        <f t="shared" si="13"/>
        <v>0x6C</v>
      </c>
      <c r="W18" t="str">
        <f t="shared" si="13"/>
        <v>0x6E</v>
      </c>
      <c r="X18" t="str">
        <f t="shared" si="13"/>
        <v>0x06</v>
      </c>
      <c r="Y18" t="str">
        <f t="shared" si="13"/>
        <v>0x0E</v>
      </c>
      <c r="Z18" t="str">
        <f t="shared" si="13"/>
        <v>0x0C</v>
      </c>
      <c r="AA18" t="str">
        <f t="shared" si="13"/>
        <v>0x0C</v>
      </c>
      <c r="AC18" t="str">
        <f t="shared" si="14"/>
        <v>const uint8_t C1_3[8]={0x00,0x00,0x03,0x90,0x0A,0x00,0x0E,0x00};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B1_3[8]={0x00,0x00,0x01,0xF0,0x0B,0x10,0x0C,0x00};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A1_3[8]={0x00,0x00,0x00,0xF0,0x01,0xF0,0x0C,0x00};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79" priority="1" operator="equal">
      <formula>2</formula>
    </cfRule>
    <cfRule type="cellIs" dxfId="178" priority="2" operator="equal">
      <formula>1</formula>
    </cfRule>
    <cfRule type="cellIs" dxfId="177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A2FDB-0B0D-4C18-B862-AD73FE027845}">
  <sheetPr codeName="Planilha10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34</v>
      </c>
      <c r="AG2" t="s">
        <v>42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00</v>
      </c>
      <c r="V3" s="28" t="str">
        <f>DEC2HEX(D6*2^0+D5*2^1+D4*2^2+D3*2^3+H6*2^4+H5*2^5+H4*2^6+H3*2^7,2)</f>
        <v>00</v>
      </c>
      <c r="W3" s="28" t="str">
        <f>DEC2HEX(E6*2^0+E5*2^1+E4*2^2+E3*2^3+I6*2^4+I5*2^5+I4*2^6+I3*2^7,2)</f>
        <v>00</v>
      </c>
      <c r="X3" s="28" t="str">
        <f>DEC2HEX(J6*2^0+J5*2^1+J4*2^2+J3*2^3+N6*2^4+N5*2^5+N4*2^6+N3*2^7,2)</f>
        <v>00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37</v>
      </c>
      <c r="AE3" t="s">
        <v>37</v>
      </c>
      <c r="AF3" t="s">
        <v>38</v>
      </c>
      <c r="AG3" t="s">
        <v>47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01</v>
      </c>
      <c r="W4" s="28" t="str">
        <f>DEC2HEX(E10*2^4+E9*2^5+E8*2^6+E7*2^7+I10*2^0+I9*2^1+I8*2^2+I7*2^3,2)</f>
        <v>07</v>
      </c>
      <c r="X4" s="28" t="str">
        <f>DEC2HEX(J10*2^4+J9*2^5+J8*2^6+J7*2^7+N10*2^0+N9*2^1+N8*2^2+N7*2^3,2)</f>
        <v>E0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F0</v>
      </c>
      <c r="AC4" t="s">
        <v>29</v>
      </c>
      <c r="AD4" t="s">
        <v>37</v>
      </c>
      <c r="AE4" t="s">
        <v>36</v>
      </c>
      <c r="AF4" t="s">
        <v>44</v>
      </c>
      <c r="AG4" t="s">
        <v>52</v>
      </c>
      <c r="AH4" t="s">
        <v>37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1</v>
      </c>
      <c r="L5" s="10">
        <v>1</v>
      </c>
      <c r="M5" s="10">
        <v>1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30</v>
      </c>
      <c r="U5" s="28" t="str">
        <f t="shared" si="1"/>
        <v>E0</v>
      </c>
      <c r="V5" s="28" t="str">
        <f>DEC2HEX(D14*2^0+D13*2^1+D12*2^2+D11*2^3+H14*2^4+H13*2^5+H12*2^6+H11*2^7,2)</f>
        <v>C0</v>
      </c>
      <c r="W5" s="28" t="str">
        <f t="shared" ref="W5" si="2">DEC2HEX(E14*2^0+E13*2^1+E12*2^2+E11*2^3+I14*2^4+I13*2^5+I12*2^6+I11*2^7,2)</f>
        <v>01</v>
      </c>
      <c r="X5" s="28" t="str">
        <f t="shared" ref="X5:Y5" si="3">DEC2HEX(J14*2^0+J13*2^1+J12*2^2+J11*2^3+N14*2^4+N13*2^5+N12*2^6+N11*2^7,2)</f>
        <v>00</v>
      </c>
      <c r="Y5" s="28" t="str">
        <f t="shared" si="3"/>
        <v>00</v>
      </c>
      <c r="Z5" s="28" t="str">
        <f>DEC2HEX(L14*2^0+L13*2^1+L12*2^2+L11*2^3+P14*2^4+P13*2^5+P12*2^6+P11*2^7,2)</f>
        <v>0F</v>
      </c>
      <c r="AA5" s="28" t="str">
        <f>DEC2HEX(M14*2^0+M13*2^1+M12*2^2+M11*2^3+Q14*2^4+Q13*2^5+Q12*2^6+Q11*2^7,2)</f>
        <v>0F</v>
      </c>
      <c r="AC5" t="s">
        <v>2</v>
      </c>
      <c r="AD5" t="s">
        <v>37</v>
      </c>
      <c r="AE5" t="s">
        <v>62</v>
      </c>
      <c r="AF5" t="s">
        <v>36</v>
      </c>
      <c r="AG5" t="s">
        <v>82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1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0E</v>
      </c>
      <c r="U6" s="28" t="str">
        <f t="shared" si="4"/>
        <v>06</v>
      </c>
      <c r="V6" s="28" t="str">
        <f>DEC2HEX(D18*2^4+D17*2^5+D16*2^6+D15*2^7+H18*2^0+H17*2^1+H16*2^2+H15*2^3,2)</f>
        <v>66</v>
      </c>
      <c r="W6" s="28" t="str">
        <f t="shared" ref="W6" si="5">DEC2HEX(E18*2^4+E17*2^5+E16*2^6+E15*2^7+I18*2^0+I17*2^1+I16*2^2+I15*2^3,2)</f>
        <v>E6</v>
      </c>
      <c r="X6" s="28" t="str">
        <f t="shared" ref="X6:Y6" si="6">DEC2HEX(J18*2^4+J17*2^5+J16*2^6+J15*2^7+N18*2^0+N17*2^1+N16*2^2+N15*2^3,2)</f>
        <v>66</v>
      </c>
      <c r="Y6" s="28" t="str">
        <f t="shared" si="6"/>
        <v>66</v>
      </c>
      <c r="Z6" s="28" t="str">
        <f>DEC2HEX(L18*2^4+L17*2^5+L16*2^6+L15*2^7+P18*2^0+P17*2^1+P16*2^2+P15*2^3,2)</f>
        <v>F0</v>
      </c>
      <c r="AA6" s="28" t="str">
        <f>DEC2HEX(M18*2^4+M17*2^5+M16*2^6+M15*2^7+Q18*2^0+Q17*2^1+Q16*2^2+Q15*2^3,2)</f>
        <v>F0</v>
      </c>
      <c r="AC6" t="s">
        <v>30</v>
      </c>
      <c r="AD6" t="s">
        <v>37</v>
      </c>
      <c r="AE6" t="s">
        <v>38</v>
      </c>
      <c r="AF6" t="s">
        <v>37</v>
      </c>
      <c r="AG6" t="s">
        <v>52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00</v>
      </c>
      <c r="U7" s="28" t="str">
        <f t="shared" si="7"/>
        <v>00</v>
      </c>
      <c r="V7" s="28" t="str">
        <f>DEC2HEX(D22*2^0+D21*2^1+D20*2^2+D19*2^3+H22*2^4+H21*2^5+H20*2^6+H19*2^7,2)</f>
        <v>00</v>
      </c>
      <c r="W7" s="28" t="str">
        <f t="shared" ref="W7" si="8">DEC2HEX(E22*2^0+E21*2^1+E20*2^2+E19*2^3+I22*2^4+I21*2^5+I20*2^6+I19*2^7,2)</f>
        <v>00</v>
      </c>
      <c r="X7" s="28" t="str">
        <f t="shared" ref="X7:Y7" si="9">DEC2HEX(J22*2^0+J21*2^1+J20*2^2+J19*2^3+N22*2^4+N21*2^5+N20*2^6+N19*2^7,2)</f>
        <v>00</v>
      </c>
      <c r="Y7" s="28" t="str">
        <f t="shared" si="9"/>
        <v>00</v>
      </c>
      <c r="Z7" s="28" t="str">
        <f>DEC2HEX(L22*2^0+L21*2^1+L20*2^2+L19*2^3+P22*2^4+P21*2^5+P20*2^6+P19*2^7,2)</f>
        <v>0E</v>
      </c>
      <c r="AA7" s="28" t="str">
        <f>DEC2HEX(M22*2^0+M21*2^1+M20*2^2+M19*2^3+Q22*2^4+Q21*2^5+Q20*2^6+Q19*2^7,2)</f>
        <v>0E</v>
      </c>
      <c r="AC7" t="s">
        <v>31</v>
      </c>
      <c r="AD7" t="s">
        <v>35</v>
      </c>
      <c r="AE7" t="s">
        <v>39</v>
      </c>
      <c r="AF7" t="s">
        <v>37</v>
      </c>
      <c r="AG7" t="s">
        <v>52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1</v>
      </c>
      <c r="J8" s="10">
        <v>1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43</v>
      </c>
      <c r="AF8" t="s">
        <v>40</v>
      </c>
      <c r="AG8" t="s">
        <v>43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1</v>
      </c>
      <c r="J9" s="10">
        <v>1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43</v>
      </c>
      <c r="AF9" t="s">
        <v>40</v>
      </c>
      <c r="AG9" t="s">
        <v>43</v>
      </c>
      <c r="AH9" t="s">
        <v>42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</v>
      </c>
      <c r="I10" s="10">
        <v>1</v>
      </c>
      <c r="J10" s="10">
        <v>0</v>
      </c>
      <c r="K10" s="10">
        <v>0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1</v>
      </c>
      <c r="H11" s="10">
        <v>1</v>
      </c>
      <c r="I11" s="10">
        <v>0</v>
      </c>
      <c r="J11" s="10">
        <v>0</v>
      </c>
      <c r="K11" s="10">
        <v>0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1</v>
      </c>
      <c r="H12" s="10">
        <v>1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D2_4[8]={0x00,0x00,0x00,0x00,0x30,0x0E,0x00,0x00};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0x00</v>
      </c>
      <c r="U14" t="str">
        <f t="shared" si="13"/>
        <v>0x00</v>
      </c>
      <c r="V14" t="str">
        <f t="shared" si="13"/>
        <v>0x00</v>
      </c>
      <c r="W14" t="str">
        <f t="shared" si="13"/>
        <v>0x00</v>
      </c>
      <c r="X14" t="str">
        <f t="shared" si="13"/>
        <v>0x00</v>
      </c>
      <c r="Y14" t="str">
        <f t="shared" si="13"/>
        <v>0x03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C2_4[8]={0x00,0x00,0x00,0x00,0xE0,0x06,0x00,0x00};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0x00</v>
      </c>
      <c r="V15" t="str">
        <f t="shared" si="13"/>
        <v>0x01</v>
      </c>
      <c r="W15" t="str">
        <f t="shared" si="13"/>
        <v>0x07</v>
      </c>
      <c r="X15" t="str">
        <f t="shared" si="13"/>
        <v>0xE0</v>
      </c>
      <c r="Y15" t="str">
        <f t="shared" si="13"/>
        <v>0x80</v>
      </c>
      <c r="Z15" t="str">
        <f t="shared" si="13"/>
        <v>0xF0</v>
      </c>
      <c r="AA15" t="str">
        <f t="shared" si="13"/>
        <v>0xF0</v>
      </c>
      <c r="AC15" t="str">
        <f t="shared" si="14"/>
        <v>const uint8_t B2_4[8]={0x00,0x00,0x00,0x01,0xC0,0x66,0x00,0x00};</v>
      </c>
    </row>
    <row r="16" spans="1:35" x14ac:dyDescent="0.25">
      <c r="A16">
        <v>13</v>
      </c>
      <c r="B16" s="10">
        <v>0</v>
      </c>
      <c r="C16" s="10">
        <v>0</v>
      </c>
      <c r="D16" s="10">
        <v>1</v>
      </c>
      <c r="E16" s="10">
        <v>1</v>
      </c>
      <c r="F16" s="10">
        <v>1</v>
      </c>
      <c r="G16" s="10">
        <v>1</v>
      </c>
      <c r="H16" s="10">
        <v>1</v>
      </c>
      <c r="I16" s="10">
        <v>1</v>
      </c>
      <c r="J16" s="10">
        <v>1</v>
      </c>
      <c r="K16" s="10">
        <v>1</v>
      </c>
      <c r="L16" s="10">
        <v>1</v>
      </c>
      <c r="M16" s="10">
        <v>1</v>
      </c>
      <c r="N16" s="10">
        <v>1</v>
      </c>
      <c r="O16" s="10">
        <v>1</v>
      </c>
      <c r="P16" s="10">
        <v>0</v>
      </c>
      <c r="Q16" s="10">
        <v>0</v>
      </c>
      <c r="T16" t="str">
        <f t="shared" si="13"/>
        <v>0x30</v>
      </c>
      <c r="U16" t="str">
        <f t="shared" si="13"/>
        <v>0xE0</v>
      </c>
      <c r="V16" t="str">
        <f t="shared" si="13"/>
        <v>0xC0</v>
      </c>
      <c r="W16" t="str">
        <f t="shared" si="13"/>
        <v>0x01</v>
      </c>
      <c r="X16" t="str">
        <f t="shared" si="13"/>
        <v>0x00</v>
      </c>
      <c r="Y16" t="str">
        <f t="shared" si="13"/>
        <v>0x00</v>
      </c>
      <c r="Z16" t="str">
        <f t="shared" si="13"/>
        <v>0x0F</v>
      </c>
      <c r="AA16" t="str">
        <f t="shared" si="13"/>
        <v>0x0F</v>
      </c>
      <c r="AC16" t="str">
        <f t="shared" si="14"/>
        <v>const uint8_t A2_4[8]={0x00,0x00,0x00,0x07,0x01,0xE6,0x00,0x00};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1</v>
      </c>
      <c r="G17" s="10">
        <v>1</v>
      </c>
      <c r="H17" s="10">
        <v>1</v>
      </c>
      <c r="I17" s="10">
        <v>1</v>
      </c>
      <c r="J17" s="10">
        <v>1</v>
      </c>
      <c r="K17" s="10">
        <v>1</v>
      </c>
      <c r="L17" s="10">
        <v>1</v>
      </c>
      <c r="M17" s="10">
        <v>1</v>
      </c>
      <c r="N17" s="10">
        <v>1</v>
      </c>
      <c r="O17" s="10">
        <v>1</v>
      </c>
      <c r="P17" s="10">
        <v>0</v>
      </c>
      <c r="Q17" s="10">
        <v>0</v>
      </c>
      <c r="T17" t="str">
        <f t="shared" si="13"/>
        <v>0x0E</v>
      </c>
      <c r="U17" t="str">
        <f t="shared" si="13"/>
        <v>0x06</v>
      </c>
      <c r="V17" t="str">
        <f t="shared" si="13"/>
        <v>0x66</v>
      </c>
      <c r="W17" t="str">
        <f t="shared" si="13"/>
        <v>0xE6</v>
      </c>
      <c r="X17" t="str">
        <f t="shared" si="13"/>
        <v>0x66</v>
      </c>
      <c r="Y17" t="str">
        <f t="shared" si="13"/>
        <v>0x66</v>
      </c>
      <c r="Z17" t="str">
        <f t="shared" si="13"/>
        <v>0xF0</v>
      </c>
      <c r="AA17" t="str">
        <f t="shared" si="13"/>
        <v>0xF0</v>
      </c>
      <c r="AC17" t="str">
        <f t="shared" si="14"/>
        <v>const uint8_t D1_4[8]={0x00,0x00,0x00,0xE0,0x00,0x66,0x00,0x00};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0x00</v>
      </c>
      <c r="U18" t="str">
        <f t="shared" si="13"/>
        <v>0x00</v>
      </c>
      <c r="V18" t="str">
        <f t="shared" si="13"/>
        <v>0x00</v>
      </c>
      <c r="W18" t="str">
        <f t="shared" si="13"/>
        <v>0x00</v>
      </c>
      <c r="X18" t="str">
        <f t="shared" si="13"/>
        <v>0x00</v>
      </c>
      <c r="Y18" t="str">
        <f t="shared" si="13"/>
        <v>0x00</v>
      </c>
      <c r="Z18" t="str">
        <f t="shared" si="13"/>
        <v>0x0E</v>
      </c>
      <c r="AA18" t="str">
        <f t="shared" si="13"/>
        <v>0x0E</v>
      </c>
      <c r="AC18" t="str">
        <f t="shared" si="14"/>
        <v>const uint8_t C1_4[8]={0x00,0x00,0x03,0x80,0x00,0x66,0x00,0x00};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B1_4[8]={0x00,0x00,0x03,0xF0,0x0F,0xF0,0x0E,0x00};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A1_4[8]={0x00,0x00,0x03,0xF0,0x0F,0xF0,0x0E,0x00};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76" priority="1" operator="equal">
      <formula>2</formula>
    </cfRule>
    <cfRule type="cellIs" dxfId="175" priority="2" operator="equal">
      <formula>1</formula>
    </cfRule>
    <cfRule type="cellIs" dxfId="174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53156-8509-4288-9205-ABA06D8C21DA}">
  <sheetPr codeName="Planilha11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44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31</v>
      </c>
      <c r="W3" s="28" t="str">
        <f>DEC2HEX(E6*2^0+E5*2^1+E4*2^2+E3*2^3+I6*2^4+I5*2^5+I4*2^6+I3*2^7,2)</f>
        <v>33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34</v>
      </c>
      <c r="AE3" t="s">
        <v>37</v>
      </c>
      <c r="AF3" t="s">
        <v>44</v>
      </c>
      <c r="AG3" t="s">
        <v>37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F0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53</v>
      </c>
      <c r="AE4" t="s">
        <v>43</v>
      </c>
      <c r="AF4" t="s">
        <v>59</v>
      </c>
      <c r="AG4" t="s">
        <v>37</v>
      </c>
      <c r="AH4" t="s">
        <v>55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C0</v>
      </c>
      <c r="U5" s="28" t="str">
        <f t="shared" si="1"/>
        <v>C0</v>
      </c>
      <c r="V5" s="28" t="str">
        <f>DEC2HEX(D14*2^0+D13*2^1+D12*2^2+D11*2^3+H14*2^4+H13*2^5+H12*2^6+H11*2^7,2)</f>
        <v>CC</v>
      </c>
      <c r="W5" s="28" t="str">
        <f t="shared" ref="W5" si="2">DEC2HEX(E14*2^0+E13*2^1+E12*2^2+E11*2^3+I14*2^4+I13*2^5+I12*2^6+I11*2^7,2)</f>
        <v>CC</v>
      </c>
      <c r="X5" s="28" t="str">
        <f t="shared" ref="X5:Y5" si="3">DEC2HEX(J14*2^0+J13*2^1+J12*2^2+J11*2^3+N14*2^4+N13*2^5+N12*2^6+N11*2^7,2)</f>
        <v>1C</v>
      </c>
      <c r="Y5" s="28" t="str">
        <f t="shared" si="3"/>
        <v>0E</v>
      </c>
      <c r="Z5" s="28" t="str">
        <f>DEC2HEX(L14*2^0+L13*2^1+L12*2^2+L11*2^3+P14*2^4+P13*2^5+P12*2^6+P11*2^7,2)</f>
        <v>07</v>
      </c>
      <c r="AA5" s="28" t="str">
        <f>DEC2HEX(M14*2^0+M13*2^1+M12*2^2+M11*2^3+Q14*2^4+Q13*2^5+Q12*2^6+Q11*2^7,2)</f>
        <v>03</v>
      </c>
      <c r="AC5" t="s">
        <v>2</v>
      </c>
      <c r="AD5" t="s">
        <v>60</v>
      </c>
      <c r="AE5" t="s">
        <v>43</v>
      </c>
      <c r="AF5" t="s">
        <v>59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00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0F</v>
      </c>
      <c r="Y6" s="28" t="str">
        <f t="shared" si="6"/>
        <v>00</v>
      </c>
      <c r="Z6" s="28" t="str">
        <f>DEC2HEX(L18*2^4+L17*2^5+L16*2^6+L15*2^7+P18*2^0+P17*2^1+P16*2^2+P15*2^3,2)</f>
        <v>10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37</v>
      </c>
      <c r="AF6" t="s">
        <v>61</v>
      </c>
      <c r="AG6" t="s">
        <v>40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60</v>
      </c>
      <c r="V7" s="28" t="str">
        <f>DEC2HEX(D22*2^0+D21*2^1+D20*2^2+D19*2^3+H22*2^4+H21*2^5+H20*2^6+H19*2^7,2)</f>
        <v>6C</v>
      </c>
      <c r="W7" s="28" t="str">
        <f t="shared" ref="W7" si="8">DEC2HEX(E22*2^0+E21*2^1+E20*2^2+E19*2^3+I22*2^4+I21*2^5+I20*2^6+I19*2^7,2)</f>
        <v>66</v>
      </c>
      <c r="X7" s="28" t="str">
        <f t="shared" ref="X7:Y7" si="9">DEC2HEX(J22*2^0+J21*2^1+J20*2^2+J19*2^3+N22*2^4+N21*2^5+N20*2^6+N19*2^7,2)</f>
        <v>06</v>
      </c>
      <c r="Y7" s="28" t="str">
        <f t="shared" si="9"/>
        <v>0C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08</v>
      </c>
      <c r="AC7" t="s">
        <v>31</v>
      </c>
      <c r="AD7" t="s">
        <v>35</v>
      </c>
      <c r="AE7" t="s">
        <v>37</v>
      </c>
      <c r="AF7" t="s">
        <v>42</v>
      </c>
      <c r="AG7" t="s">
        <v>37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37</v>
      </c>
      <c r="AF8" t="s">
        <v>62</v>
      </c>
      <c r="AG8" t="s">
        <v>33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37</v>
      </c>
      <c r="AF9" t="s">
        <v>35</v>
      </c>
      <c r="AG9" t="s">
        <v>43</v>
      </c>
      <c r="AH9" t="s">
        <v>41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1</v>
      </c>
      <c r="G11" s="10">
        <v>1</v>
      </c>
      <c r="H11" s="10">
        <v>1</v>
      </c>
      <c r="I11" s="10">
        <v>1</v>
      </c>
      <c r="J11" s="10">
        <v>1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D2_5[8]={0x00,0x00,0x30,0x00,0xC0,0x00,0x60,0x00};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0x30</v>
      </c>
      <c r="V14" t="str">
        <f t="shared" si="13"/>
        <v>0x31</v>
      </c>
      <c r="W14" t="str">
        <f t="shared" si="13"/>
        <v>0x33</v>
      </c>
      <c r="X14" t="str">
        <f t="shared" si="13"/>
        <v>0x03</v>
      </c>
      <c r="Y14" t="str">
        <f t="shared" si="13"/>
        <v>0x03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C2_5[8]={0x00,0x00,0x30,0x00,0xC0,0x00,0x60,0x00};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0x00</v>
      </c>
      <c r="V15" t="str">
        <f t="shared" si="13"/>
        <v>0xF0</v>
      </c>
      <c r="W15" t="str">
        <f t="shared" si="13"/>
        <v>0xF0</v>
      </c>
      <c r="X15" t="str">
        <f t="shared" si="13"/>
        <v>0x00</v>
      </c>
      <c r="Y15" t="str">
        <f t="shared" si="13"/>
        <v>0x00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B2_5[8]={0x00,0x00,0x31,0xF0,0xCC,0x00,0x6C,0x00};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3"/>
        <v>0xC0</v>
      </c>
      <c r="U16" t="str">
        <f t="shared" si="13"/>
        <v>0xC0</v>
      </c>
      <c r="V16" t="str">
        <f t="shared" si="13"/>
        <v>0xCC</v>
      </c>
      <c r="W16" t="str">
        <f t="shared" si="13"/>
        <v>0xCC</v>
      </c>
      <c r="X16" t="str">
        <f t="shared" si="13"/>
        <v>0x1C</v>
      </c>
      <c r="Y16" t="str">
        <f t="shared" si="13"/>
        <v>0x0E</v>
      </c>
      <c r="Z16" t="str">
        <f t="shared" si="13"/>
        <v>0x07</v>
      </c>
      <c r="AA16" t="str">
        <f t="shared" si="13"/>
        <v>0x03</v>
      </c>
      <c r="AC16" t="str">
        <f t="shared" si="14"/>
        <v>const uint8_t A2_5[8]={0x00,0x00,0x33,0xF0,0xCC,0x00,0x66,0x00};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0x00</v>
      </c>
      <c r="V17" t="str">
        <f t="shared" si="13"/>
        <v>0x00</v>
      </c>
      <c r="W17" t="str">
        <f t="shared" si="13"/>
        <v>0x00</v>
      </c>
      <c r="X17" t="str">
        <f t="shared" si="13"/>
        <v>0x0F</v>
      </c>
      <c r="Y17" t="str">
        <f t="shared" si="13"/>
        <v>0x00</v>
      </c>
      <c r="Z17" t="str">
        <f t="shared" si="13"/>
        <v>0x10</v>
      </c>
      <c r="AA17" t="str">
        <f t="shared" si="13"/>
        <v>0xF0</v>
      </c>
      <c r="AC17" t="str">
        <f t="shared" si="14"/>
        <v>const uint8_t D1_5[8]={0x00,0x00,0x03,0x00,0x1C,0x0F,0x06,0x00};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1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0x60</v>
      </c>
      <c r="V18" t="str">
        <f t="shared" si="13"/>
        <v>0x6C</v>
      </c>
      <c r="W18" t="str">
        <f t="shared" si="13"/>
        <v>0x66</v>
      </c>
      <c r="X18" t="str">
        <f t="shared" si="13"/>
        <v>0x06</v>
      </c>
      <c r="Y18" t="str">
        <f t="shared" si="13"/>
        <v>0x0C</v>
      </c>
      <c r="Z18" t="str">
        <f t="shared" si="13"/>
        <v>0x0C</v>
      </c>
      <c r="AA18" t="str">
        <f t="shared" si="13"/>
        <v>0x08</v>
      </c>
      <c r="AC18" t="str">
        <f t="shared" si="14"/>
        <v>const uint8_t C1_5[8]={0x00,0x00,0x03,0x00,0x0E,0x00,0x0C,0x00};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B1_5[8]={0x00,0x00,0x03,0x00,0x07,0x10,0x0C,0x00};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A1_5[8]={0x00,0x00,0x03,0x00,0x03,0xF0,0x08,0x00};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73" priority="1" operator="equal">
      <formula>2</formula>
    </cfRule>
    <cfRule type="cellIs" dxfId="172" priority="2" operator="equal">
      <formula>1</formula>
    </cfRule>
    <cfRule type="cellIs" dxfId="171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4A5D7-AA4D-4C52-8E84-5AF696D1D04B}">
  <sheetPr codeName="Planilha12"/>
  <dimension ref="A1:AI30"/>
  <sheetViews>
    <sheetView topLeftCell="D1"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42</v>
      </c>
      <c r="AF2" t="s">
        <v>51</v>
      </c>
      <c r="AG2" t="s">
        <v>36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10</v>
      </c>
      <c r="V3" s="28" t="str">
        <f>DEC2HEX(D6*2^0+D5*2^1+D4*2^2+D3*2^3+H6*2^4+H5*2^5+H4*2^6+H3*2^7,2)</f>
        <v>10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33</v>
      </c>
      <c r="AE3" t="s">
        <v>41</v>
      </c>
      <c r="AF3" t="s">
        <v>63</v>
      </c>
      <c r="AG3" t="s">
        <v>37</v>
      </c>
      <c r="AH3" t="s">
        <v>38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0E</v>
      </c>
      <c r="U4" s="28" t="str">
        <f>DEC2HEX(C10*2^4+C9*2^5+C8*2^6+C7*2^7+G10*2^0+G9*2^1+G8*2^2+G7*2^3,2)</f>
        <v>08</v>
      </c>
      <c r="V4" s="28" t="str">
        <f>DEC2HEX(D10*2^4+D9*2^5+D8*2^6+D7*2^7+H10*2^0+H9*2^1+H8*2^2+H7*2^3,2)</f>
        <v>18</v>
      </c>
      <c r="W4" s="28" t="str">
        <f>DEC2HEX(E10*2^4+E9*2^5+E8*2^6+E7*2^7+I10*2^0+I9*2^1+I8*2^2+I7*2^3,2)</f>
        <v>70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33</v>
      </c>
      <c r="AE4" t="s">
        <v>81</v>
      </c>
      <c r="AF4" t="s">
        <v>65</v>
      </c>
      <c r="AG4" t="s">
        <v>38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70</v>
      </c>
      <c r="U5" s="28" t="str">
        <f t="shared" si="1"/>
        <v>40</v>
      </c>
      <c r="V5" s="28" t="str">
        <f>DEC2HEX(D14*2^0+D13*2^1+D12*2^2+D11*2^3+H14*2^4+H13*2^5+H12*2^6+H11*2^7,2)</f>
        <v>CF</v>
      </c>
      <c r="W5" s="28" t="str">
        <f t="shared" ref="W5" si="2">DEC2HEX(E14*2^0+E13*2^1+E12*2^2+E11*2^3+I14*2^4+I13*2^5+I12*2^6+I11*2^7,2)</f>
        <v>CF</v>
      </c>
      <c r="X5" s="28" t="str">
        <f t="shared" ref="X5:Y5" si="3">DEC2HEX(J14*2^0+J13*2^1+J12*2^2+J11*2^3+N14*2^4+N13*2^5+N12*2^6+N11*2^7,2)</f>
        <v>1C</v>
      </c>
      <c r="Y5" s="28" t="str">
        <f t="shared" si="3"/>
        <v>0C</v>
      </c>
      <c r="Z5" s="28" t="str">
        <f>DEC2HEX(L14*2^0+L13*2^1+L12*2^2+L11*2^3+P14*2^4+P13*2^5+P12*2^6+P11*2^7,2)</f>
        <v>06</v>
      </c>
      <c r="AA5" s="28" t="str">
        <f>DEC2HEX(M14*2^0+M13*2^1+M12*2^2+M11*2^3+Q14*2^4+Q13*2^5+Q12*2^6+Q11*2^7,2)</f>
        <v>07</v>
      </c>
      <c r="AC5" t="s">
        <v>2</v>
      </c>
      <c r="AD5" t="s">
        <v>34</v>
      </c>
      <c r="AE5" t="s">
        <v>51</v>
      </c>
      <c r="AF5" t="s">
        <v>65</v>
      </c>
      <c r="AG5" t="s">
        <v>43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01</v>
      </c>
      <c r="U6" s="28" t="str">
        <f t="shared" si="4"/>
        <v>00</v>
      </c>
      <c r="V6" s="28" t="str">
        <f>DEC2HEX(D18*2^4+D17*2^5+D16*2^6+D15*2^7+H18*2^0+H17*2^1+H16*2^2+H15*2^3,2)</f>
        <v>E0</v>
      </c>
      <c r="W6" s="28" t="str">
        <f t="shared" ref="W6" si="5">DEC2HEX(E18*2^4+E17*2^5+E16*2^6+E15*2^7+I18*2^0+I17*2^1+I16*2^2+I15*2^3,2)</f>
        <v>F0</v>
      </c>
      <c r="X6" s="28" t="str">
        <f t="shared" ref="X6:Y6" si="6">DEC2HEX(J18*2^4+J17*2^5+J16*2^6+J15*2^7+N18*2^0+N17*2^1+N16*2^2+N15*2^3,2)</f>
        <v>0F</v>
      </c>
      <c r="Y6" s="28" t="str">
        <f t="shared" si="6"/>
        <v>00</v>
      </c>
      <c r="Z6" s="28" t="str">
        <f>DEC2HEX(L18*2^4+L17*2^5+L16*2^6+L15*2^7+P18*2^0+P17*2^1+P16*2^2+P15*2^3,2)</f>
        <v>10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37</v>
      </c>
      <c r="AF6" t="s">
        <v>61</v>
      </c>
      <c r="AG6" t="s">
        <v>40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1</v>
      </c>
      <c r="G7" s="10">
        <v>1</v>
      </c>
      <c r="H7" s="10">
        <v>1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C0</v>
      </c>
      <c r="U7" s="28" t="str">
        <f t="shared" si="7"/>
        <v>E0</v>
      </c>
      <c r="V7" s="28" t="str">
        <f>DEC2HEX(D22*2^0+D21*2^1+D20*2^2+D19*2^3+H22*2^4+H21*2^5+H20*2^6+H19*2^7,2)</f>
        <v>60</v>
      </c>
      <c r="W7" s="28" t="str">
        <f t="shared" ref="W7" si="8">DEC2HEX(E22*2^0+E21*2^1+E20*2^2+E19*2^3+I22*2^4+I21*2^5+I20*2^6+I19*2^7,2)</f>
        <v>68</v>
      </c>
      <c r="X7" s="28" t="str">
        <f t="shared" ref="X7:Y7" si="9">DEC2HEX(J22*2^0+J21*2^1+J20*2^2+J19*2^3+N22*2^4+N21*2^5+N20*2^6+N19*2^7,2)</f>
        <v>06</v>
      </c>
      <c r="Y7" s="28" t="str">
        <f t="shared" si="9"/>
        <v>06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0C</v>
      </c>
      <c r="AC7" t="s">
        <v>31</v>
      </c>
      <c r="AD7" t="s">
        <v>35</v>
      </c>
      <c r="AE7" t="s">
        <v>37</v>
      </c>
      <c r="AF7" t="s">
        <v>48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37</v>
      </c>
      <c r="AF8" t="s">
        <v>47</v>
      </c>
      <c r="AG8" t="s">
        <v>33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37</v>
      </c>
      <c r="AF9" t="s">
        <v>62</v>
      </c>
      <c r="AG9" t="s">
        <v>43</v>
      </c>
      <c r="AH9" t="s">
        <v>48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1</v>
      </c>
      <c r="I11" s="10">
        <v>1</v>
      </c>
      <c r="J11" s="10">
        <v>1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1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D2_6[8]={0x00,0x00,0x00,0x0E,0x70,0x01,0xC0,0x00};</v>
      </c>
    </row>
    <row r="14" spans="1:35" x14ac:dyDescent="0.25">
      <c r="A14">
        <v>11</v>
      </c>
      <c r="B14" s="10">
        <v>0</v>
      </c>
      <c r="C14" s="10">
        <v>0</v>
      </c>
      <c r="D14" s="10">
        <v>1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0x00</v>
      </c>
      <c r="U14" t="str">
        <f t="shared" si="13"/>
        <v>0x10</v>
      </c>
      <c r="V14" t="str">
        <f t="shared" si="13"/>
        <v>0x10</v>
      </c>
      <c r="W14" t="str">
        <f t="shared" si="13"/>
        <v>0x30</v>
      </c>
      <c r="X14" t="str">
        <f t="shared" si="13"/>
        <v>0x03</v>
      </c>
      <c r="Y14" t="str">
        <f t="shared" si="13"/>
        <v>0x03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C2_6[8]={0x00,0x00,0x10,0x08,0x40,0x00,0xE0,0x00};</v>
      </c>
    </row>
    <row r="15" spans="1:35" x14ac:dyDescent="0.25">
      <c r="A15">
        <v>12</v>
      </c>
      <c r="B15" s="10">
        <v>0</v>
      </c>
      <c r="C15" s="10">
        <v>0</v>
      </c>
      <c r="D15" s="10">
        <v>1</v>
      </c>
      <c r="E15" s="10">
        <v>1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3"/>
        <v>0x0E</v>
      </c>
      <c r="U15" t="str">
        <f t="shared" si="13"/>
        <v>0x08</v>
      </c>
      <c r="V15" t="str">
        <f t="shared" si="13"/>
        <v>0x18</v>
      </c>
      <c r="W15" t="str">
        <f t="shared" si="13"/>
        <v>0x70</v>
      </c>
      <c r="X15" t="str">
        <f t="shared" si="13"/>
        <v>0x00</v>
      </c>
      <c r="Y15" t="str">
        <f t="shared" si="13"/>
        <v>0x00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B2_6[8]={0x00,0x00,0x10,0x18,0xCF,0xE0,0x60,0x00};</v>
      </c>
    </row>
    <row r="16" spans="1:35" x14ac:dyDescent="0.25">
      <c r="A16">
        <v>13</v>
      </c>
      <c r="B16" s="10">
        <v>0</v>
      </c>
      <c r="C16" s="10">
        <v>0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3"/>
        <v>0x70</v>
      </c>
      <c r="U16" t="str">
        <f t="shared" si="13"/>
        <v>0x40</v>
      </c>
      <c r="V16" t="str">
        <f t="shared" si="13"/>
        <v>0xCF</v>
      </c>
      <c r="W16" t="str">
        <f t="shared" si="13"/>
        <v>0xCF</v>
      </c>
      <c r="X16" t="str">
        <f t="shared" si="13"/>
        <v>0x1C</v>
      </c>
      <c r="Y16" t="str">
        <f t="shared" si="13"/>
        <v>0x0C</v>
      </c>
      <c r="Z16" t="str">
        <f t="shared" si="13"/>
        <v>0x06</v>
      </c>
      <c r="AA16" t="str">
        <f t="shared" si="13"/>
        <v>0x07</v>
      </c>
      <c r="AC16" t="str">
        <f t="shared" si="14"/>
        <v>const uint8_t A2_6[8]={0x00,0x00,0x30,0x70,0xCF,0xF0,0x68,0x00};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T17" t="str">
        <f t="shared" si="13"/>
        <v>0x01</v>
      </c>
      <c r="U17" t="str">
        <f t="shared" si="13"/>
        <v>0x00</v>
      </c>
      <c r="V17" t="str">
        <f t="shared" si="13"/>
        <v>0xE0</v>
      </c>
      <c r="W17" t="str">
        <f t="shared" si="13"/>
        <v>0xF0</v>
      </c>
      <c r="X17" t="str">
        <f t="shared" si="13"/>
        <v>0x0F</v>
      </c>
      <c r="Y17" t="str">
        <f t="shared" si="13"/>
        <v>0x00</v>
      </c>
      <c r="Z17" t="str">
        <f t="shared" si="13"/>
        <v>0x10</v>
      </c>
      <c r="AA17" t="str">
        <f t="shared" si="13"/>
        <v>0xF0</v>
      </c>
      <c r="AC17" t="str">
        <f t="shared" si="14"/>
        <v>const uint8_t D1_6[8]={0x00,0x00,0x03,0x00,0x1C,0x0F,0x06,0x00};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1</v>
      </c>
      <c r="O18" s="10">
        <v>0</v>
      </c>
      <c r="P18" s="10">
        <v>0</v>
      </c>
      <c r="Q18" s="10">
        <v>0</v>
      </c>
      <c r="T18" t="str">
        <f t="shared" si="13"/>
        <v>0xC0</v>
      </c>
      <c r="U18" t="str">
        <f t="shared" si="13"/>
        <v>0xE0</v>
      </c>
      <c r="V18" t="str">
        <f t="shared" si="13"/>
        <v>0x60</v>
      </c>
      <c r="W18" t="str">
        <f t="shared" si="13"/>
        <v>0x68</v>
      </c>
      <c r="X18" t="str">
        <f t="shared" si="13"/>
        <v>0x06</v>
      </c>
      <c r="Y18" t="str">
        <f t="shared" si="13"/>
        <v>0x06</v>
      </c>
      <c r="Z18" t="str">
        <f t="shared" si="13"/>
        <v>0x0C</v>
      </c>
      <c r="AA18" t="str">
        <f t="shared" si="13"/>
        <v>0x0C</v>
      </c>
      <c r="AC18" t="str">
        <f t="shared" si="14"/>
        <v>const uint8_t C1_6[8]={0x00,0x00,0x03,0x00,0x0C,0x00,0x06,0x00};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B1_6[8]={0x00,0x00,0x03,0x00,0x06,0x10,0x0C,0x00};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A1_6[8]={0x00,0x00,0x03,0x00,0x07,0xF0,0x0C,0x00};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70" priority="1" operator="equal">
      <formula>2</formula>
    </cfRule>
    <cfRule type="cellIs" dxfId="169" priority="2" operator="equal">
      <formula>1</formula>
    </cfRule>
    <cfRule type="cellIs" dxfId="168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9D5A5-B2DE-429D-9DFF-BFD7AD1B2FF0}">
  <sheetPr codeName="Planilha13"/>
  <dimension ref="A1:AI30"/>
  <sheetViews>
    <sheetView topLeftCell="I1"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7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33</v>
      </c>
      <c r="W3" s="28" t="str">
        <f>DEC2HEX(E6*2^0+E5*2^1+E4*2^2+E3*2^3+I6*2^4+I5*2^5+I4*2^6+I3*2^7,2)</f>
        <v>33</v>
      </c>
      <c r="X3" s="28" t="str">
        <f>DEC2HEX(J6*2^0+J5*2^1+J4*2^2+J3*2^3+N6*2^4+N5*2^5+N4*2^6+N3*2^7,2)</f>
        <v>33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34</v>
      </c>
      <c r="AE3" t="s">
        <v>37</v>
      </c>
      <c r="AF3" t="s">
        <v>37</v>
      </c>
      <c r="AG3" t="s">
        <v>36</v>
      </c>
      <c r="AH3" t="s">
        <v>38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00</v>
      </c>
      <c r="W4" s="28" t="str">
        <f>DEC2HEX(E10*2^4+E9*2^5+E8*2^6+E7*2^7+I10*2^0+I9*2^1+I8*2^2+I7*2^3,2)</f>
        <v>00</v>
      </c>
      <c r="X4" s="28" t="str">
        <f>DEC2HEX(J10*2^4+J9*2^5+J8*2^6+J7*2^7+N10*2^0+N9*2^1+N8*2^2+N7*2^3,2)</f>
        <v>08</v>
      </c>
      <c r="Y4" s="28" t="str">
        <f>DEC2HEX(K10*2^4+K9*2^5+K8*2^6+K7*2^7+O10*2^0+O9*2^1+O8*2^2+O7*2^3,2)</f>
        <v>10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E0</v>
      </c>
      <c r="AC4" t="s">
        <v>29</v>
      </c>
      <c r="AD4" t="s">
        <v>60</v>
      </c>
      <c r="AE4" t="s">
        <v>37</v>
      </c>
      <c r="AF4" t="s">
        <v>37</v>
      </c>
      <c r="AG4" t="s">
        <v>62</v>
      </c>
      <c r="AH4" t="s">
        <v>44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00</v>
      </c>
      <c r="V5" s="28" t="str">
        <f>DEC2HEX(D14*2^0+D13*2^1+D12*2^2+D11*2^3+H14*2^4+H13*2^5+H12*2^6+H11*2^7,2)</f>
        <v>00</v>
      </c>
      <c r="W5" s="28" t="str">
        <f t="shared" ref="W5" si="2">DEC2HEX(E14*2^0+E13*2^1+E12*2^2+E11*2^3+I14*2^4+I13*2^5+I12*2^6+I11*2^7,2)</f>
        <v>10</v>
      </c>
      <c r="X5" s="28" t="str">
        <f t="shared" ref="X5:Y5" si="3">DEC2HEX(J14*2^0+J13*2^1+J12*2^2+J11*2^3+N14*2^4+N13*2^5+N12*2^6+N11*2^7,2)</f>
        <v>07</v>
      </c>
      <c r="Y5" s="28" t="str">
        <f t="shared" si="3"/>
        <v>0E</v>
      </c>
      <c r="Z5" s="28" t="str">
        <f>DEC2HEX(L14*2^0+L13*2^1+L12*2^2+L11*2^3+P14*2^4+P13*2^5+P12*2^6+P11*2^7,2)</f>
        <v>08</v>
      </c>
      <c r="AA5" s="28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33</v>
      </c>
      <c r="AG5" t="s">
        <v>40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01</v>
      </c>
      <c r="V6" s="28" t="str">
        <f>DEC2HEX(D18*2^4+D17*2^5+D16*2^6+D15*2^7+H18*2^0+H17*2^1+H16*2^2+H15*2^3,2)</f>
        <v>07</v>
      </c>
      <c r="W6" s="28" t="str">
        <f t="shared" ref="W6" si="5">DEC2HEX(E18*2^4+E17*2^5+E16*2^6+E15*2^7+I18*2^0+I17*2^1+I16*2^2+I15*2^3,2)</f>
        <v>0F</v>
      </c>
      <c r="X6" s="28" t="str">
        <f t="shared" ref="X6:Y6" si="6">DEC2HEX(J18*2^4+J17*2^5+J16*2^6+J15*2^7+N18*2^0+N17*2^1+N16*2^2+N15*2^3,2)</f>
        <v>C0</v>
      </c>
      <c r="Y6" s="28" t="str">
        <f t="shared" si="6"/>
        <v>00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60</v>
      </c>
      <c r="AE6" t="s">
        <v>41</v>
      </c>
      <c r="AF6" t="s">
        <v>62</v>
      </c>
      <c r="AG6" t="s">
        <v>44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1</v>
      </c>
      <c r="M7" s="10">
        <v>1</v>
      </c>
      <c r="N7" s="10">
        <v>1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E0</v>
      </c>
      <c r="V7" s="28" t="str">
        <f>DEC2HEX(D22*2^0+D21*2^1+D20*2^2+D19*2^3+H22*2^4+H21*2^5+H20*2^6+H19*2^7,2)</f>
        <v>C0</v>
      </c>
      <c r="W7" s="28" t="str">
        <f t="shared" ref="W7" si="8">DEC2HEX(E22*2^0+E21*2^1+E20*2^2+E19*2^3+I22*2^4+I21*2^5+I20*2^6+I19*2^7,2)</f>
        <v>00</v>
      </c>
      <c r="X7" s="28" t="str">
        <f t="shared" ref="X7:Y7" si="9">DEC2HEX(J22*2^0+J21*2^1+J20*2^2+J19*2^3+N22*2^4+N21*2^5+N20*2^6+N19*2^7,2)</f>
        <v>00</v>
      </c>
      <c r="Y7" s="28" t="str">
        <f t="shared" si="9"/>
        <v>00</v>
      </c>
      <c r="Z7" s="28" t="str">
        <f>DEC2HEX(L22*2^0+L21*2^1+L20*2^2+L19*2^3+P22*2^4+P21*2^5+P20*2^6+P19*2^7,2)</f>
        <v>00</v>
      </c>
      <c r="AA7" s="28" t="str">
        <f>DEC2HEX(M22*2^0+M21*2^1+M20*2^2+M19*2^3+Q22*2^4+Q21*2^5+Q20*2^6+Q19*2^7,2)</f>
        <v>00</v>
      </c>
      <c r="AC7" t="s">
        <v>31</v>
      </c>
      <c r="AD7" t="s">
        <v>35</v>
      </c>
      <c r="AE7" t="s">
        <v>33</v>
      </c>
      <c r="AF7" t="s">
        <v>42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43</v>
      </c>
      <c r="AF8" t="s">
        <v>41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38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D2_7[8]={0x00,0x00,0x30,0x00,0x00,0x00,0x60,0x00};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0x30</v>
      </c>
      <c r="V14" t="str">
        <f t="shared" si="13"/>
        <v>0x33</v>
      </c>
      <c r="W14" t="str">
        <f t="shared" si="13"/>
        <v>0x33</v>
      </c>
      <c r="X14" t="str">
        <f t="shared" si="13"/>
        <v>0x33</v>
      </c>
      <c r="Y14" t="str">
        <f t="shared" si="13"/>
        <v>0x03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C2_7[8]={0x00,0x00,0x30,0x00,0x00,0x01,0xE0,0x00};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1</v>
      </c>
      <c r="J15" s="10">
        <v>1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0x00</v>
      </c>
      <c r="V15" t="str">
        <f t="shared" si="13"/>
        <v>0x00</v>
      </c>
      <c r="W15" t="str">
        <f t="shared" si="13"/>
        <v>0x00</v>
      </c>
      <c r="X15" t="str">
        <f t="shared" si="13"/>
        <v>0x08</v>
      </c>
      <c r="Y15" t="str">
        <f t="shared" si="13"/>
        <v>0x10</v>
      </c>
      <c r="Z15" t="str">
        <f t="shared" si="13"/>
        <v>0xF0</v>
      </c>
      <c r="AA15" t="str">
        <f t="shared" si="13"/>
        <v>0xE0</v>
      </c>
      <c r="AC15" t="str">
        <f t="shared" si="14"/>
        <v>const uint8_t B2_7[8]={0x00,0x00,0x33,0x00,0x00,0x07,0xC0,0x00};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1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0x00</v>
      </c>
      <c r="V16" t="str">
        <f t="shared" si="13"/>
        <v>0x00</v>
      </c>
      <c r="W16" t="str">
        <f t="shared" si="13"/>
        <v>0x10</v>
      </c>
      <c r="X16" t="str">
        <f t="shared" si="13"/>
        <v>0x07</v>
      </c>
      <c r="Y16" t="str">
        <f t="shared" si="13"/>
        <v>0x0E</v>
      </c>
      <c r="Z16" t="str">
        <f t="shared" si="13"/>
        <v>0x08</v>
      </c>
      <c r="AA16" t="str">
        <f t="shared" si="13"/>
        <v>0x00</v>
      </c>
      <c r="AC16" t="str">
        <f t="shared" si="14"/>
        <v>const uint8_t A2_7[8]={0x00,0x00,0x33,0x00,0x10,0x0F,0x00,0x00};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1</v>
      </c>
      <c r="I17" s="10">
        <v>1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0x01</v>
      </c>
      <c r="V17" t="str">
        <f t="shared" si="13"/>
        <v>0x07</v>
      </c>
      <c r="W17" t="str">
        <f t="shared" si="13"/>
        <v>0x0F</v>
      </c>
      <c r="X17" t="str">
        <f t="shared" si="13"/>
        <v>0xC0</v>
      </c>
      <c r="Y17" t="str">
        <f t="shared" si="13"/>
        <v>0x00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D1_7[8]={0x00,0x00,0x33,0x08,0x07,0xC0,0x00,0x00};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1</v>
      </c>
      <c r="H18" s="10">
        <v>1</v>
      </c>
      <c r="I18" s="10">
        <v>1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0xE0</v>
      </c>
      <c r="V18" t="str">
        <f t="shared" si="13"/>
        <v>0xC0</v>
      </c>
      <c r="W18" t="str">
        <f t="shared" si="13"/>
        <v>0x00</v>
      </c>
      <c r="X18" t="str">
        <f t="shared" si="13"/>
        <v>0x00</v>
      </c>
      <c r="Y18" t="str">
        <f t="shared" si="13"/>
        <v>0x00</v>
      </c>
      <c r="Z18" t="str">
        <f t="shared" si="13"/>
        <v>0x00</v>
      </c>
      <c r="AA18" t="str">
        <f t="shared" si="13"/>
        <v>0x00</v>
      </c>
      <c r="AC18" t="str">
        <f t="shared" si="14"/>
        <v>const uint8_t C1_7[8]={0x00,0x00,0x03,0x10,0x0E,0x00,0x00,0x00};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1</v>
      </c>
      <c r="H19" s="10">
        <v>1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B1_7[8]={0x00,0x00,0x03,0xF0,0x08,0x00,0x00,0x00};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A1_7[8]={0x00,0x00,0x03,0xE0,0x00,0x00,0x00,0x00};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67" priority="1" operator="equal">
      <formula>2</formula>
    </cfRule>
    <cfRule type="cellIs" dxfId="166" priority="2" operator="equal">
      <formula>1</formula>
    </cfRule>
    <cfRule type="cellIs" dxfId="165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8EE82-9014-46D1-8083-F18C79C79EF1}">
  <sheetPr codeName="Planilha14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8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40</v>
      </c>
      <c r="AF2" t="s">
        <v>66</v>
      </c>
      <c r="AG2" t="s">
        <v>40</v>
      </c>
      <c r="AH2" t="s">
        <v>39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10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41</v>
      </c>
      <c r="AF3" t="s">
        <v>43</v>
      </c>
      <c r="AG3" t="s">
        <v>41</v>
      </c>
      <c r="AH3" t="s">
        <v>44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0F</v>
      </c>
      <c r="U4" s="28" t="str">
        <f>DEC2HEX(C10*2^4+C9*2^5+C8*2^6+C7*2^7+G10*2^0+G9*2^1+G8*2^2+G7*2^3,2)</f>
        <v>08</v>
      </c>
      <c r="V4" s="28" t="str">
        <f>DEC2HEX(D10*2^4+D9*2^5+D8*2^6+D7*2^7+H10*2^0+H9*2^1+H8*2^2+H7*2^3,2)</f>
        <v>00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F0</v>
      </c>
      <c r="AC4" t="s">
        <v>29</v>
      </c>
      <c r="AD4" t="s">
        <v>34</v>
      </c>
      <c r="AE4" t="s">
        <v>37</v>
      </c>
      <c r="AF4" t="s">
        <v>51</v>
      </c>
      <c r="AG4" t="s">
        <v>37</v>
      </c>
      <c r="AH4" t="s">
        <v>63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90</v>
      </c>
      <c r="U5" s="28" t="str">
        <f t="shared" si="1"/>
        <v>F0</v>
      </c>
      <c r="V5" s="28" t="str">
        <f>DEC2HEX(D14*2^0+D13*2^1+D12*2^2+D11*2^3+H14*2^4+H13*2^5+H12*2^6+H11*2^7,2)</f>
        <v>70</v>
      </c>
      <c r="W5" s="28" t="str">
        <f t="shared" ref="W5" si="2">DEC2HEX(E14*2^0+E13*2^1+E12*2^2+E11*2^3+I14*2^4+I13*2^5+I12*2^6+I11*2^7,2)</f>
        <v>70</v>
      </c>
      <c r="X5" s="28" t="str">
        <f t="shared" ref="X5:Y5" si="3">DEC2HEX(J14*2^0+J13*2^1+J12*2^2+J11*2^3+N14*2^4+N13*2^5+N12*2^6+N11*2^7,2)</f>
        <v>07</v>
      </c>
      <c r="Y5" s="28" t="str">
        <f t="shared" si="3"/>
        <v>0F</v>
      </c>
      <c r="Z5" s="28" t="str">
        <f>DEC2HEX(L14*2^0+L13*2^1+L12*2^2+L11*2^3+P14*2^4+P13*2^5+P12*2^6+P11*2^7,2)</f>
        <v>09</v>
      </c>
      <c r="AA5" s="28" t="str">
        <f>DEC2HEX(M14*2^0+M13*2^1+M12*2^2+M11*2^3+Q14*2^4+Q13*2^5+Q12*2^6+Q11*2^7,2)</f>
        <v>00</v>
      </c>
      <c r="AC5" t="s">
        <v>2</v>
      </c>
      <c r="AD5" t="s">
        <v>34</v>
      </c>
      <c r="AE5" t="s">
        <v>43</v>
      </c>
      <c r="AF5" t="s">
        <v>51</v>
      </c>
      <c r="AG5" t="s">
        <v>43</v>
      </c>
      <c r="AH5" t="s">
        <v>63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0F</v>
      </c>
      <c r="U6" s="28" t="str">
        <f t="shared" si="4"/>
        <v>08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F0</v>
      </c>
      <c r="X6" s="28" t="str">
        <f t="shared" ref="X6:Y6" si="6">DEC2HEX(J18*2^4+J17*2^5+J16*2^6+J15*2^7+N18*2^0+N17*2^1+N16*2^2+N15*2^3,2)</f>
        <v>00</v>
      </c>
      <c r="Y6" s="28" t="str">
        <f t="shared" si="6"/>
        <v>80</v>
      </c>
      <c r="Z6" s="28" t="str">
        <f>DEC2HEX(L18*2^4+L17*2^5+L16*2^6+L15*2^7+P18*2^0+P17*2^1+P16*2^2+P15*2^3,2)</f>
        <v>F0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37</v>
      </c>
      <c r="AF6" t="s">
        <v>62</v>
      </c>
      <c r="AG6" t="s">
        <v>37</v>
      </c>
      <c r="AH6" t="s">
        <v>67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80</v>
      </c>
      <c r="U7" s="28" t="str">
        <f t="shared" si="7"/>
        <v>C0</v>
      </c>
      <c r="V7" s="28" t="str">
        <f>DEC2HEX(D22*2^0+D21*2^1+D20*2^2+D19*2^3+H22*2^4+H21*2^5+H20*2^6+H19*2^7,2)</f>
        <v>40</v>
      </c>
      <c r="W7" s="28" t="str">
        <f t="shared" ref="W7" si="8">DEC2HEX(E22*2^0+E21*2^1+E20*2^2+E19*2^3+I22*2^4+I21*2^5+I20*2^6+I19*2^7,2)</f>
        <v>40</v>
      </c>
      <c r="X7" s="28" t="str">
        <f t="shared" ref="X7:Y7" si="9">DEC2HEX(J22*2^0+J21*2^1+J20*2^2+J19*2^3+N22*2^4+N21*2^5+N20*2^6+N19*2^7,2)</f>
        <v>04</v>
      </c>
      <c r="Y7" s="28" t="str">
        <f t="shared" si="9"/>
        <v>0C</v>
      </c>
      <c r="Z7" s="28" t="str">
        <f>DEC2HEX(L22*2^0+L21*2^1+L20*2^2+L19*2^3+P22*2^4+P21*2^5+P20*2^6+P19*2^7,2)</f>
        <v>08</v>
      </c>
      <c r="AA7" s="28" t="str">
        <f>DEC2HEX(M22*2^0+M21*2^1+M20*2^2+M19*2^3+Q22*2^4+Q21*2^5+Q20*2^6+Q19*2^7,2)</f>
        <v>00</v>
      </c>
      <c r="AC7" t="s">
        <v>31</v>
      </c>
      <c r="AD7" t="s">
        <v>35</v>
      </c>
      <c r="AE7" t="s">
        <v>39</v>
      </c>
      <c r="AF7" t="s">
        <v>40</v>
      </c>
      <c r="AG7" t="s">
        <v>39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43</v>
      </c>
      <c r="AF8" t="s">
        <v>56</v>
      </c>
      <c r="AG8" t="s">
        <v>43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43</v>
      </c>
      <c r="AF9" t="s">
        <v>37</v>
      </c>
      <c r="AG9" t="s">
        <v>43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1</v>
      </c>
      <c r="G11" s="10">
        <v>1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D2_8[8]={0x00,0x00,0x10,0x0F,0x90,0x0F,0x80,0x00};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0x10</v>
      </c>
      <c r="U14" t="str">
        <f t="shared" si="13"/>
        <v>0x30</v>
      </c>
      <c r="V14" t="str">
        <f t="shared" si="13"/>
        <v>0x30</v>
      </c>
      <c r="W14" t="str">
        <f t="shared" si="13"/>
        <v>0x30</v>
      </c>
      <c r="X14" t="str">
        <f t="shared" si="13"/>
        <v>0x03</v>
      </c>
      <c r="Y14" t="str">
        <f t="shared" si="13"/>
        <v>0x03</v>
      </c>
      <c r="Z14" t="str">
        <f t="shared" si="13"/>
        <v>0x01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C2_8[8]={0x00,0x00,0x30,0x08,0xF0,0x08,0xC0,0x00};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1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0x0F</v>
      </c>
      <c r="U15" t="str">
        <f t="shared" si="13"/>
        <v>0x08</v>
      </c>
      <c r="V15" t="str">
        <f t="shared" si="13"/>
        <v>0x00</v>
      </c>
      <c r="W15" t="str">
        <f t="shared" si="13"/>
        <v>0xF0</v>
      </c>
      <c r="X15" t="str">
        <f t="shared" si="13"/>
        <v>0x00</v>
      </c>
      <c r="Y15" t="str">
        <f t="shared" si="13"/>
        <v>0x80</v>
      </c>
      <c r="Z15" t="str">
        <f t="shared" si="13"/>
        <v>0xF0</v>
      </c>
      <c r="AA15" t="str">
        <f t="shared" si="13"/>
        <v>0xF0</v>
      </c>
      <c r="AC15" t="str">
        <f t="shared" si="14"/>
        <v>const uint8_t B2_8[8]={0x00,0x00,0x30,0x00,0x70,0x00,0x40,0x00};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0x90</v>
      </c>
      <c r="U16" t="str">
        <f t="shared" si="13"/>
        <v>0xF0</v>
      </c>
      <c r="V16" t="str">
        <f t="shared" si="13"/>
        <v>0x70</v>
      </c>
      <c r="W16" t="str">
        <f t="shared" si="13"/>
        <v>0x70</v>
      </c>
      <c r="X16" t="str">
        <f t="shared" si="13"/>
        <v>0x07</v>
      </c>
      <c r="Y16" t="str">
        <f t="shared" si="13"/>
        <v>0x0F</v>
      </c>
      <c r="Z16" t="str">
        <f t="shared" si="13"/>
        <v>0x09</v>
      </c>
      <c r="AA16" t="str">
        <f t="shared" si="13"/>
        <v>0x00</v>
      </c>
      <c r="AC16" t="str">
        <f t="shared" si="14"/>
        <v>const uint8_t A2_8[8]={0x00,0x00,0x30,0xF0,0x70,0xF0,0x40,0x00};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0x0F</v>
      </c>
      <c r="U17" t="str">
        <f t="shared" si="13"/>
        <v>0x08</v>
      </c>
      <c r="V17" t="str">
        <f t="shared" si="13"/>
        <v>0x00</v>
      </c>
      <c r="W17" t="str">
        <f t="shared" si="13"/>
        <v>0xF0</v>
      </c>
      <c r="X17" t="str">
        <f t="shared" si="13"/>
        <v>0x00</v>
      </c>
      <c r="Y17" t="str">
        <f t="shared" si="13"/>
        <v>0x80</v>
      </c>
      <c r="Z17" t="str">
        <f t="shared" si="13"/>
        <v>0xF0</v>
      </c>
      <c r="AA17" t="str">
        <f t="shared" si="13"/>
        <v>0xF0</v>
      </c>
      <c r="AC17" t="str">
        <f t="shared" si="14"/>
        <v>const uint8_t D1_8[8]={0x00,0x00,0x03,0x00,0x07,0x00,0x04,0x00};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0x80</v>
      </c>
      <c r="U18" t="str">
        <f t="shared" si="13"/>
        <v>0xC0</v>
      </c>
      <c r="V18" t="str">
        <f t="shared" si="13"/>
        <v>0x40</v>
      </c>
      <c r="W18" t="str">
        <f t="shared" si="13"/>
        <v>0x40</v>
      </c>
      <c r="X18" t="str">
        <f t="shared" si="13"/>
        <v>0x04</v>
      </c>
      <c r="Y18" t="str">
        <f t="shared" si="13"/>
        <v>0x0C</v>
      </c>
      <c r="Z18" t="str">
        <f t="shared" si="13"/>
        <v>0x08</v>
      </c>
      <c r="AA18" t="str">
        <f t="shared" si="13"/>
        <v>0x00</v>
      </c>
      <c r="AC18" t="str">
        <f t="shared" si="14"/>
        <v>const uint8_t C1_8[8]={0x00,0x00,0x03,0x80,0x0F,0x80,0x0C,0x00};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B1_8[8]={0x00,0x00,0x01,0xF0,0x09,0xF0,0x08,0x00};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A1_8[8]={0x00,0x00,0x00,0xF0,0x00,0xF0,0x00,0x00};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64" priority="1" operator="equal">
      <formula>2</formula>
    </cfRule>
    <cfRule type="cellIs" dxfId="163" priority="2" operator="equal">
      <formula>1</formula>
    </cfRule>
    <cfRule type="cellIs" dxfId="162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B63FF-6E4E-49A9-A2D5-0DFC7051826E}">
  <sheetPr codeName="Planilha15"/>
  <dimension ref="A1:AI30"/>
  <sheetViews>
    <sheetView topLeftCell="J1"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>
        <v>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48</v>
      </c>
      <c r="AF2" t="s">
        <v>34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10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31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37</v>
      </c>
      <c r="AF3" t="s">
        <v>33</v>
      </c>
      <c r="AG3" t="s">
        <v>41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0C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70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03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C0</v>
      </c>
      <c r="AA4" s="28" t="str">
        <f>DEC2HEX(M10*2^4+M9*2^5+M8*2^6+M7*2^7+Q10*2^0+Q9*2^1+Q8*2^2+Q7*2^3,2)</f>
        <v>F0</v>
      </c>
      <c r="AC4" t="s">
        <v>29</v>
      </c>
      <c r="AD4" t="s">
        <v>34</v>
      </c>
      <c r="AE4" t="s">
        <v>51</v>
      </c>
      <c r="AF4" t="s">
        <v>61</v>
      </c>
      <c r="AG4" t="s">
        <v>41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30</v>
      </c>
      <c r="U5" s="28" t="str">
        <f t="shared" si="1"/>
        <v>10</v>
      </c>
      <c r="V5" s="28" t="str">
        <f>DEC2HEX(D14*2^0+D13*2^1+D12*2^2+D11*2^3+H14*2^4+H13*2^5+H12*2^6+H11*2^7,2)</f>
        <v>1C</v>
      </c>
      <c r="W5" s="28" t="str">
        <f t="shared" ref="W5" si="2">DEC2HEX(E14*2^0+E13*2^1+E12*2^2+E11*2^3+I14*2^4+I13*2^5+I12*2^6+I11*2^7,2)</f>
        <v>1F</v>
      </c>
      <c r="X5" s="28" t="str">
        <f t="shared" ref="X5:Y5" si="3">DEC2HEX(J14*2^0+J13*2^1+J12*2^2+J11*2^3+N14*2^4+N13*2^5+N12*2^6+N11*2^7,2)</f>
        <v>F1</v>
      </c>
      <c r="Y5" s="28" t="str">
        <f t="shared" si="3"/>
        <v>01</v>
      </c>
      <c r="Z5" s="28" t="str">
        <f>DEC2HEX(L14*2^0+L13*2^1+L12*2^2+L11*2^3+P14*2^4+P13*2^5+P12*2^6+P11*2^7,2)</f>
        <v>02</v>
      </c>
      <c r="AA5" s="28" t="str">
        <f>DEC2HEX(M14*2^0+M13*2^1+M12*2^2+M11*2^3+Q14*2^4+Q13*2^5+Q12*2^6+Q11*2^7,2)</f>
        <v>0F</v>
      </c>
      <c r="AC5" t="s">
        <v>2</v>
      </c>
      <c r="AD5" t="s">
        <v>53</v>
      </c>
      <c r="AE5" t="s">
        <v>43</v>
      </c>
      <c r="AF5" t="s">
        <v>68</v>
      </c>
      <c r="AG5" t="s">
        <v>41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08</v>
      </c>
      <c r="V6" s="28" t="str">
        <f>DEC2HEX(D18*2^4+D17*2^5+D16*2^6+D15*2^7+H18*2^0+H17*2^1+H16*2^2+H15*2^3,2)</f>
        <v>08</v>
      </c>
      <c r="W6" s="28" t="str">
        <f t="shared" ref="W6" si="5">DEC2HEX(E18*2^4+E17*2^5+E16*2^6+E15*2^7+I18*2^0+I17*2^1+I16*2^2+I15*2^3,2)</f>
        <v>08</v>
      </c>
      <c r="X6" s="28" t="str">
        <f t="shared" ref="X6:Y6" si="6">DEC2HEX(J18*2^4+J17*2^5+J16*2^6+J15*2^7+N18*2^0+N17*2^1+N16*2^2+N15*2^3,2)</f>
        <v>8C</v>
      </c>
      <c r="Y6" s="28" t="str">
        <f t="shared" si="6"/>
        <v>00</v>
      </c>
      <c r="Z6" s="28" t="str">
        <f>DEC2HEX(L18*2^4+L17*2^5+L16*2^6+L15*2^7+P18*2^0+P17*2^1+P16*2^2+P15*2^3,2)</f>
        <v>70</v>
      </c>
      <c r="AA6" s="28" t="str">
        <f>DEC2HEX(M18*2^4+M17*2^5+M16*2^6+M15*2^7+Q18*2^0+Q17*2^1+Q16*2^2+Q15*2^3,2)</f>
        <v>F0</v>
      </c>
      <c r="AC6" t="s">
        <v>30</v>
      </c>
      <c r="AD6" t="s">
        <v>35</v>
      </c>
      <c r="AE6" t="s">
        <v>35</v>
      </c>
      <c r="AF6" t="s">
        <v>69</v>
      </c>
      <c r="AG6" t="s">
        <v>96</v>
      </c>
      <c r="AH6" t="s">
        <v>67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60</v>
      </c>
      <c r="V7" s="28" t="str">
        <f>DEC2HEX(D22*2^0+D21*2^1+D20*2^2+D19*2^3+H22*2^4+H21*2^5+H20*2^6+H19*2^7,2)</f>
        <v>60</v>
      </c>
      <c r="W7" s="28" t="str">
        <f t="shared" ref="W7" si="8">DEC2HEX(E22*2^0+E21*2^1+E20*2^2+E19*2^3+I22*2^4+I21*2^5+I20*2^6+I19*2^7,2)</f>
        <v>66</v>
      </c>
      <c r="X7" s="28" t="str">
        <f t="shared" ref="X7:Y7" si="9">DEC2HEX(J22*2^0+J21*2^1+J20*2^2+J19*2^3+N22*2^4+N21*2^5+N20*2^6+N19*2^7,2)</f>
        <v>04</v>
      </c>
      <c r="Y7" s="28" t="str">
        <f t="shared" si="9"/>
        <v>0C</v>
      </c>
      <c r="Z7" s="28" t="str">
        <f>DEC2HEX(L22*2^0+L21*2^1+L20*2^2+L19*2^3+P22*2^4+P21*2^5+P20*2^6+P19*2^7,2)</f>
        <v>08</v>
      </c>
      <c r="AA7" s="28" t="str">
        <f>DEC2HEX(M22*2^0+M21*2^1+M20*2^2+M19*2^3+Q22*2^4+Q21*2^5+Q20*2^6+Q19*2^7,2)</f>
        <v>00</v>
      </c>
      <c r="AC7" t="s">
        <v>31</v>
      </c>
      <c r="AD7" t="s">
        <v>35</v>
      </c>
      <c r="AE7" t="s">
        <v>39</v>
      </c>
      <c r="AF7" t="s">
        <v>36</v>
      </c>
      <c r="AG7" t="s">
        <v>37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44</v>
      </c>
      <c r="AF8" t="s">
        <v>49</v>
      </c>
      <c r="AG8" t="s">
        <v>51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43</v>
      </c>
      <c r="AF9" t="s">
        <v>40</v>
      </c>
      <c r="AG9" t="s">
        <v>43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1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1</v>
      </c>
      <c r="N12" s="10">
        <v>1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D2_9[8]={0x00,0x00,0x10,0x0C,0x30,0x00,0x60,0x00};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0x10</v>
      </c>
      <c r="U14" t="str">
        <f t="shared" si="13"/>
        <v>0x30</v>
      </c>
      <c r="V14" t="str">
        <f t="shared" si="13"/>
        <v>0x30</v>
      </c>
      <c r="W14" t="str">
        <f t="shared" si="13"/>
        <v>0x31</v>
      </c>
      <c r="X14" t="str">
        <f t="shared" si="13"/>
        <v>0x03</v>
      </c>
      <c r="Y14" t="str">
        <f t="shared" si="13"/>
        <v>0x03</v>
      </c>
      <c r="Z14" t="str">
        <f t="shared" si="13"/>
        <v>0x01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C2_9[8]={0x00,0x00,0x30,0x00,0x10,0x08,0x60,0x00};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1</v>
      </c>
      <c r="H15" s="10">
        <v>1</v>
      </c>
      <c r="I15" s="10">
        <v>1</v>
      </c>
      <c r="J15" s="10">
        <v>1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3"/>
        <v>0x0C</v>
      </c>
      <c r="U15" t="str">
        <f t="shared" si="13"/>
        <v>0x00</v>
      </c>
      <c r="V15" t="str">
        <f t="shared" si="13"/>
        <v>0x70</v>
      </c>
      <c r="W15" t="str">
        <f t="shared" si="13"/>
        <v>0xF0</v>
      </c>
      <c r="X15" t="str">
        <f t="shared" si="13"/>
        <v>0x03</v>
      </c>
      <c r="Y15" t="str">
        <f t="shared" si="13"/>
        <v>0x80</v>
      </c>
      <c r="Z15" t="str">
        <f t="shared" si="13"/>
        <v>0xC0</v>
      </c>
      <c r="AA15" t="str">
        <f t="shared" si="13"/>
        <v>0xF0</v>
      </c>
      <c r="AC15" t="str">
        <f t="shared" si="14"/>
        <v>const uint8_t B2_9[8]={0x00,0x00,0x30,0x70,0x1C,0x08,0x60,0x00};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3"/>
        <v>0x30</v>
      </c>
      <c r="U16" t="str">
        <f t="shared" si="13"/>
        <v>0x10</v>
      </c>
      <c r="V16" t="str">
        <f t="shared" si="13"/>
        <v>0x1C</v>
      </c>
      <c r="W16" t="str">
        <f t="shared" si="13"/>
        <v>0x1F</v>
      </c>
      <c r="X16" t="str">
        <f t="shared" si="13"/>
        <v>0xF1</v>
      </c>
      <c r="Y16" t="str">
        <f t="shared" si="13"/>
        <v>0x01</v>
      </c>
      <c r="Z16" t="str">
        <f t="shared" si="13"/>
        <v>0x02</v>
      </c>
      <c r="AA16" t="str">
        <f t="shared" si="13"/>
        <v>0x0F</v>
      </c>
      <c r="AC16" t="str">
        <f t="shared" si="14"/>
        <v>const uint8_t A2_9[8]={0x00,0x00,0x31,0xF0,0x1F,0x08,0x66,0x00};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0x08</v>
      </c>
      <c r="V17" t="str">
        <f t="shared" si="13"/>
        <v>0x08</v>
      </c>
      <c r="W17" t="str">
        <f t="shared" si="13"/>
        <v>0x08</v>
      </c>
      <c r="X17" t="str">
        <f t="shared" si="13"/>
        <v>0x8C</v>
      </c>
      <c r="Y17" t="str">
        <f t="shared" si="13"/>
        <v>0x00</v>
      </c>
      <c r="Z17" t="str">
        <f t="shared" si="13"/>
        <v>0x70</v>
      </c>
      <c r="AA17" t="str">
        <f t="shared" si="13"/>
        <v>0xF0</v>
      </c>
      <c r="AC17" t="str">
        <f t="shared" si="14"/>
        <v>const uint8_t D1_9[8]={0x00,0x00,0x03,0x03,0xF1,0x8C,0x04,0x00};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0x60</v>
      </c>
      <c r="V18" t="str">
        <f t="shared" si="13"/>
        <v>0x60</v>
      </c>
      <c r="W18" t="str">
        <f t="shared" si="13"/>
        <v>0x66</v>
      </c>
      <c r="X18" t="str">
        <f t="shared" si="13"/>
        <v>0x04</v>
      </c>
      <c r="Y18" t="str">
        <f t="shared" si="13"/>
        <v>0x0C</v>
      </c>
      <c r="Z18" t="str">
        <f t="shared" si="13"/>
        <v>0x08</v>
      </c>
      <c r="AA18" t="str">
        <f t="shared" si="13"/>
        <v>0x00</v>
      </c>
      <c r="AC18" t="str">
        <f t="shared" si="14"/>
        <v>const uint8_t C1_9[8]={0x00,0x00,0x03,0x80,0x01,0x00,0x0C,0x00};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B1_9[8]={0x00,0x00,0x01,0xC0,0x02,0x70,0x08,0x00};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A1_9[8]={0x00,0x00,0x00,0xF0,0x0F,0xF0,0x00,0x00};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61" priority="1" operator="equal">
      <formula>2</formula>
    </cfRule>
    <cfRule type="cellIs" dxfId="160" priority="2" operator="equal">
      <formula>1</formula>
    </cfRule>
    <cfRule type="cellIs" dxfId="159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68DBD-DA39-40BC-A51E-31AB7C65F5A9}">
  <sheetPr codeName="Planilha16"/>
  <dimension ref="A1:AI30"/>
  <sheetViews>
    <sheetView workbookViewId="0">
      <selection activeCell="AB1" sqref="AB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51</v>
      </c>
      <c r="AG2" t="s">
        <v>38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10</v>
      </c>
      <c r="W3" t="str">
        <f>DEC2HEX(E6*2^0+E5*2^1+E4*2^2+E3*2^3+I6*2^4+I5*2^5+I4*2^6+I3*2^7,2)</f>
        <v>30</v>
      </c>
      <c r="X3" t="str">
        <f>DEC2HEX(J6*2^0+J5*2^1+J4*2^2+J3*2^3+N6*2^4+N5*2^5+N4*2^6+N3*2^7,2)</f>
        <v>03</v>
      </c>
      <c r="Y3" t="str">
        <f>DEC2HEX(K6*2^0+K5*2^1+K4*2^2+K3*2^3+O6*2^4+O5*2^5+O4*2^6+O3*2^7,2)</f>
        <v>01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43</v>
      </c>
      <c r="AG3" t="s">
        <v>44</v>
      </c>
      <c r="AH3" t="s">
        <v>47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30</v>
      </c>
      <c r="V4" t="str">
        <f>DEC2HEX(D10*2^0+D9*2^1+D8*2^2+D7*2^3+H10*2^4+H9*2^5+H8*2^6+H7*2^7,2)</f>
        <v>F0</v>
      </c>
      <c r="W4" t="str">
        <f>DEC2HEX(E10*2^0+E9*2^1+E8*2^2+E7*2^3+I10*2^4+I9*2^5+I8*2^6+I7*2^7,2)</f>
        <v>C0</v>
      </c>
      <c r="X4" t="str">
        <f>DEC2HEX(J10*2^0+J9*2^1+J8*2^2+J7*2^3+N10*2^4+N9*2^5+N8*2^6+N7*2^7,2)</f>
        <v>0C</v>
      </c>
      <c r="Y4" t="str">
        <f>DEC2HEX(K10*2^0+K9*2^1+K8*2^2+K7*2^3+O10*2^4+O9*2^5+O8*2^6+O7*2^7,2)</f>
        <v>0F</v>
      </c>
      <c r="Z4" t="str">
        <f>DEC2HEX(L10*2^0+L9*2^1+L8*2^2+L7*2^3+P10*2^4+P9*2^5+P8*2^6+P7*2^7,2)</f>
        <v>03</v>
      </c>
      <c r="AA4" t="str">
        <f>DEC2HEX(M10*2^0+M9*2^1+M8*2^2+M7*2^3+Q10*2^4+Q9*2^5+Q8*2^6+Q7*2^7,2)</f>
        <v>00</v>
      </c>
      <c r="AC4" t="s">
        <v>29</v>
      </c>
      <c r="AD4" t="s">
        <v>33</v>
      </c>
      <c r="AE4" t="s">
        <v>43</v>
      </c>
      <c r="AF4" t="s">
        <v>39</v>
      </c>
      <c r="AG4" t="s">
        <v>76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1</v>
      </c>
      <c r="J5" s="10">
        <v>1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70</v>
      </c>
      <c r="U5" t="str">
        <f>DEC2HEX(C14*2^0+C13*2^1+C12*2^2+C11*2^3+G14*2^4+G13*2^5+G12*2^6+G11*2^7,2)</f>
        <v>F0</v>
      </c>
      <c r="V5" t="str">
        <f>DEC2HEX(D14*2^0+D13*2^1+D12*2^2+D11*2^3+H14*2^4+H13*2^5+H12*2^6+H11*2^7,2)</f>
        <v>80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08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07</v>
      </c>
      <c r="AC5" t="s">
        <v>2</v>
      </c>
      <c r="AD5" t="s">
        <v>34</v>
      </c>
      <c r="AE5" t="s">
        <v>44</v>
      </c>
      <c r="AF5" t="s">
        <v>37</v>
      </c>
      <c r="AG5" t="s">
        <v>65</v>
      </c>
      <c r="AH5" t="s">
        <v>48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E0</v>
      </c>
      <c r="U6" t="str">
        <f>DEC2HEX(C18*2^0+C17*2^1+C16*2^2+C15*2^3+G18*2^4+G17*2^5+G16*2^6+G15*2^7,2)</f>
        <v>C0</v>
      </c>
      <c r="V6" t="str">
        <f>DEC2HEX(D18*2^0+D17*2^1+D16*2^2+D15*2^3+H18*2^4+H17*2^5+H16*2^6+H15*2^7,2)</f>
        <v>C3</v>
      </c>
      <c r="W6" t="str">
        <f>DEC2HEX(E18*2^0+E17*2^1+E16*2^2+E15*2^3+I18*2^4+I17*2^5+I16*2^6+I15*2^7,2)</f>
        <v>CF</v>
      </c>
      <c r="X6" t="str">
        <f>DEC2HEX(J18*2^0+J17*2^1+J16*2^2+J15*2^3+N18*2^4+N17*2^5+N16*2^6+N15*2^7,2)</f>
        <v>FC</v>
      </c>
      <c r="Y6" t="str">
        <f>DEC2HEX(K18*2^0+K17*2^1+K16*2^2+K15*2^3+O18*2^4+O17*2^5+O16*2^6+O15*2^7,2)</f>
        <v>3C</v>
      </c>
      <c r="Z6" t="str">
        <f>DEC2HEX(L18*2^0+L17*2^1+L16*2^2+L15*2^3+P18*2^4+P17*2^5+P16*2^6+P15*2^7,2)</f>
        <v>0C</v>
      </c>
      <c r="AA6" t="str">
        <f>DEC2HEX(M18*2^0+M17*2^1+M16*2^2+M15*2^3+Q18*2^4+Q17*2^5+Q16*2^6+Q15*2^7,2)</f>
        <v>0E</v>
      </c>
      <c r="AC6" t="s">
        <v>30</v>
      </c>
      <c r="AD6" t="s">
        <v>35</v>
      </c>
      <c r="AE6" t="s">
        <v>48</v>
      </c>
      <c r="AF6" t="s">
        <v>37</v>
      </c>
      <c r="AG6" t="s">
        <v>74</v>
      </c>
      <c r="AH6" t="s">
        <v>44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1</v>
      </c>
      <c r="I7" s="10">
        <v>1</v>
      </c>
      <c r="J7" s="10">
        <v>1</v>
      </c>
      <c r="K7" s="10">
        <v>1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06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0C</v>
      </c>
      <c r="X7" t="str">
        <f>DEC2HEX(J22*2^0+J21*2^1+J20*2^2+J19*2^3+N22*2^4+N21*2^5+N20*2^6+N19*2^7,2)</f>
        <v>C0</v>
      </c>
      <c r="Y7" t="str">
        <f>DEC2HEX(K22*2^0+K21*2^1+K20*2^2+K19*2^3+O22*2^4+O21*2^5+O20*2^6+O19*2^7,2)</f>
        <v>E0</v>
      </c>
      <c r="Z7" t="str">
        <f>DEC2HEX(L22*2^0+L21*2^1+L20*2^2+L19*2^3+P22*2^4+P21*2^5+P20*2^6+P19*2^7,2)</f>
        <v>60</v>
      </c>
      <c r="AA7" t="str">
        <f>DEC2HEX(M22*2^0+M21*2^1+M20*2^2+M19*2^3+Q22*2^4+Q21*2^5+Q20*2^6+Q19*2^7,2)</f>
        <v>00</v>
      </c>
      <c r="AC7" t="s">
        <v>31</v>
      </c>
      <c r="AD7" t="s">
        <v>36</v>
      </c>
      <c r="AE7" t="s">
        <v>40</v>
      </c>
      <c r="AF7" t="s">
        <v>41</v>
      </c>
      <c r="AG7" t="s">
        <v>77</v>
      </c>
      <c r="AH7" t="s">
        <v>38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1</v>
      </c>
      <c r="I8" s="10">
        <v>1</v>
      </c>
      <c r="J8" s="10">
        <v>1</v>
      </c>
      <c r="K8" s="10">
        <v>1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35</v>
      </c>
      <c r="AF8" t="s">
        <v>40</v>
      </c>
      <c r="AG8" t="s">
        <v>48</v>
      </c>
      <c r="AH8" t="s">
        <v>45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1</v>
      </c>
      <c r="H9" s="10">
        <v>1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62</v>
      </c>
      <c r="AG9" t="s">
        <v>42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1</v>
      </c>
      <c r="H10" s="10">
        <v>1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1</v>
      </c>
      <c r="H11" s="10">
        <v>1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1</v>
      </c>
      <c r="G12" s="10">
        <v>1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A_D2[6]={0x00,0x00,0x70,0xE0,0x00,0x00};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0x10</v>
      </c>
      <c r="W14" t="str">
        <f t="shared" si="1"/>
        <v>0x30</v>
      </c>
      <c r="X14" t="str">
        <f t="shared" si="1"/>
        <v>0x03</v>
      </c>
      <c r="Y14" t="str">
        <f t="shared" si="1"/>
        <v>0x01</v>
      </c>
      <c r="Z14" t="str">
        <f t="shared" si="1"/>
        <v>0x00</v>
      </c>
      <c r="AA14" t="str">
        <f t="shared" si="1"/>
        <v>0x00</v>
      </c>
      <c r="AC14" t="str">
        <f t="shared" si="0"/>
        <v>const uint8_t A_C2[6]={0x00,0x30,0xF0,0xC0,0x06,0x00};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  <c r="K15" s="10">
        <v>1</v>
      </c>
      <c r="L15" s="10">
        <v>1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0x30</v>
      </c>
      <c r="V15" t="str">
        <f t="shared" si="1"/>
        <v>0xF0</v>
      </c>
      <c r="W15" t="str">
        <f t="shared" si="1"/>
        <v>0xC0</v>
      </c>
      <c r="X15" t="str">
        <f t="shared" si="1"/>
        <v>0x0C</v>
      </c>
      <c r="Y15" t="str">
        <f t="shared" si="1"/>
        <v>0x0F</v>
      </c>
      <c r="Z15" t="str">
        <f t="shared" si="1"/>
        <v>0x03</v>
      </c>
      <c r="AA15" t="str">
        <f t="shared" si="1"/>
        <v>0x00</v>
      </c>
      <c r="AC15" t="str">
        <f t="shared" si="0"/>
        <v>const uint8_t A_B2[6]={0x10,0xF0,0x80,0xC3,0x0E,0x00};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1</v>
      </c>
      <c r="H16" s="10">
        <v>1</v>
      </c>
      <c r="I16" s="10">
        <v>1</v>
      </c>
      <c r="J16" s="10">
        <v>1</v>
      </c>
      <c r="K16" s="10">
        <v>1</v>
      </c>
      <c r="L16" s="10">
        <v>1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"/>
        <v>0x70</v>
      </c>
      <c r="U16" t="str">
        <f t="shared" si="1"/>
        <v>0xF0</v>
      </c>
      <c r="V16" t="str">
        <f t="shared" si="1"/>
        <v>0x80</v>
      </c>
      <c r="W16" t="str">
        <f t="shared" si="1"/>
        <v>0x00</v>
      </c>
      <c r="X16" t="str">
        <f t="shared" si="1"/>
        <v>0x00</v>
      </c>
      <c r="Y16" t="str">
        <f t="shared" si="1"/>
        <v>0x08</v>
      </c>
      <c r="Z16" t="str">
        <f t="shared" si="1"/>
        <v>0x0F</v>
      </c>
      <c r="AA16" t="str">
        <f t="shared" si="1"/>
        <v>0x07</v>
      </c>
      <c r="AC16" t="str">
        <f t="shared" si="0"/>
        <v>const uint8_t A_A2[6]={0x30,0xC0,0x00,0xCF,0x0C,0x00};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1</v>
      </c>
      <c r="P17" s="10">
        <v>0</v>
      </c>
      <c r="Q17" s="10">
        <v>0</v>
      </c>
      <c r="T17" t="str">
        <f t="shared" si="1"/>
        <v>0xE0</v>
      </c>
      <c r="U17" t="str">
        <f t="shared" si="1"/>
        <v>0xC0</v>
      </c>
      <c r="V17" t="str">
        <f t="shared" si="1"/>
        <v>0xC3</v>
      </c>
      <c r="W17" t="str">
        <f t="shared" si="1"/>
        <v>0xCF</v>
      </c>
      <c r="X17" t="str">
        <f t="shared" si="1"/>
        <v>0xFC</v>
      </c>
      <c r="Y17" t="str">
        <f t="shared" si="1"/>
        <v>0x3C</v>
      </c>
      <c r="Z17" t="str">
        <f t="shared" si="1"/>
        <v>0x0C</v>
      </c>
      <c r="AA17" t="str">
        <f t="shared" si="1"/>
        <v>0x0E</v>
      </c>
      <c r="AC17" t="str">
        <f t="shared" si="0"/>
        <v>const uint8_t A_D1[6]={0x03,0x0C,0x00,0xFC,0xC0,0x00};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1</v>
      </c>
      <c r="O18" s="10">
        <v>1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0x06</v>
      </c>
      <c r="V18" t="str">
        <f t="shared" si="1"/>
        <v>0x0E</v>
      </c>
      <c r="W18" t="str">
        <f t="shared" si="1"/>
        <v>0x0C</v>
      </c>
      <c r="X18" t="str">
        <f t="shared" si="1"/>
        <v>0xC0</v>
      </c>
      <c r="Y18" t="str">
        <f t="shared" si="1"/>
        <v>0xE0</v>
      </c>
      <c r="Z18" t="str">
        <f t="shared" si="1"/>
        <v>0x60</v>
      </c>
      <c r="AA18" t="str">
        <f t="shared" si="1"/>
        <v>0x00</v>
      </c>
      <c r="AC18" t="str">
        <f t="shared" si="0"/>
        <v>const uint8_t A_C1[6]={0x01,0x0F,0x08,0x3C,0xE0,0x00};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1</v>
      </c>
      <c r="O19" s="10">
        <v>1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A_B1[6]={0x00,0x03,0x0F,0x0C,0x60,0x00};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1</v>
      </c>
      <c r="O20" s="10">
        <v>1</v>
      </c>
      <c r="P20" s="10">
        <v>1</v>
      </c>
      <c r="Q20" s="10">
        <v>0</v>
      </c>
      <c r="AC20" t="str">
        <f t="shared" si="0"/>
        <v>const uint8_t A_A1[6]={0x00,0x00,0x07,0x0E,0x00,0x00};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1</v>
      </c>
      <c r="P21" s="10">
        <v>1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58" priority="1" operator="equal">
      <formula>2</formula>
    </cfRule>
    <cfRule type="cellIs" dxfId="157" priority="2" operator="equal">
      <formula>1</formula>
    </cfRule>
    <cfRule type="cellIs" dxfId="156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B7D3-0FFC-4EE2-84F4-DE223FD7029E}">
  <sheetPr codeName="Planilha17"/>
  <dimension ref="A1:AI30"/>
  <sheetViews>
    <sheetView tabSelected="1" workbookViewId="0">
      <selection activeCell="AC2" sqref="AC2:AI9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45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33</v>
      </c>
      <c r="V3" s="28" t="str">
        <f>DEC2HEX(D6*2^0+D5*2^1+D4*2^2+D3*2^3+H6*2^4+H5*2^5+H4*2^6+H3*2^7,2)</f>
        <v>33</v>
      </c>
      <c r="W3" s="28" t="str">
        <f>DEC2HEX(E6*2^0+E5*2^1+E4*2^2+E3*2^3+I6*2^4+I5*2^5+I4*2^6+I3*2^7,2)</f>
        <v>33</v>
      </c>
      <c r="X3" s="28" t="str">
        <f>DEC2HEX(J6*2^0+J5*2^1+J4*2^2+J3*2^3+N6*2^4+N5*2^5+N4*2^6+N3*2^7,2)</f>
        <v>03</v>
      </c>
      <c r="Y3" s="28" t="str">
        <f>DEC2HEX(K6*2^0+K5*2^1+K4*2^2+K3*2^3+O6*2^4+O5*2^5+O4*2^6+O3*2^7,2)</f>
        <v>01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00</v>
      </c>
      <c r="AC3" t="s">
        <v>28</v>
      </c>
      <c r="AD3" t="s">
        <v>60</v>
      </c>
      <c r="AE3" t="s">
        <v>43</v>
      </c>
      <c r="AF3" t="s">
        <v>78</v>
      </c>
      <c r="AG3" t="s">
        <v>43</v>
      </c>
      <c r="AH3" t="s">
        <v>54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F0</v>
      </c>
      <c r="V4" s="28" t="str">
        <f>DEC2HEX(D10*2^4+D9*2^5+D8*2^6+D7*2^7+H10*2^0+H9*2^1+H8*2^2+H7*2^3,2)</f>
        <v>F0</v>
      </c>
      <c r="W4" s="28" t="str">
        <f>DEC2HEX(E10*2^4+E9*2^5+E8*2^6+E7*2^7+I10*2^0+I9*2^1+I8*2^2+I7*2^3,2)</f>
        <v>00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F0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60</v>
      </c>
      <c r="AC4" t="s">
        <v>29</v>
      </c>
      <c r="AD4" t="s">
        <v>60</v>
      </c>
      <c r="AE4" t="s">
        <v>43</v>
      </c>
      <c r="AF4" t="s">
        <v>78</v>
      </c>
      <c r="AG4" t="s">
        <v>43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0">DEC2HEX(B14*2^0+B13*2^1+B12*2^2+B11*2^3+F14*2^4+F13*2^5+F12*2^6+F11*2^7,2)</f>
        <v>60</v>
      </c>
      <c r="U5" s="28" t="str">
        <f t="shared" si="0"/>
        <v>6F</v>
      </c>
      <c r="V5" s="28" t="str">
        <f>DEC2HEX(D14*2^0+D13*2^1+D12*2^2+D11*2^3+H14*2^4+H13*2^5+H12*2^6+H11*2^7,2)</f>
        <v>6F</v>
      </c>
      <c r="W5" s="28" t="str">
        <f t="shared" ref="W5" si="1">DEC2HEX(E14*2^0+E13*2^1+E12*2^2+E11*2^3+I14*2^4+I13*2^5+I12*2^6+I11*2^7,2)</f>
        <v>66</v>
      </c>
      <c r="X5" s="28" t="str">
        <f t="shared" ref="X5:Y5" si="2">DEC2HEX(J14*2^0+J13*2^1+J12*2^2+J11*2^3+N14*2^4+N13*2^5+N12*2^6+N11*2^7,2)</f>
        <v>0E</v>
      </c>
      <c r="Y5" s="28" t="str">
        <f t="shared" si="2"/>
        <v>0B</v>
      </c>
      <c r="Z5" s="28" t="str">
        <f>DEC2HEX(L14*2^0+L13*2^1+L12*2^2+L11*2^3+P14*2^4+P13*2^5+P12*2^6+P11*2^7,2)</f>
        <v>09</v>
      </c>
      <c r="AA5" s="28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52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3">DEC2HEX(B18*2^4+B17*2^5+B16*2^6+B15*2^7+F18*2^0+F17*2^1+F16*2^2+F15*2^3,2)</f>
        <v>00</v>
      </c>
      <c r="U6" s="28" t="str">
        <f t="shared" si="3"/>
        <v>F0</v>
      </c>
      <c r="V6" s="28" t="str">
        <f>DEC2HEX(D18*2^4+D17*2^5+D16*2^6+D15*2^7+H18*2^0+H17*2^1+H16*2^2+H15*2^3,2)</f>
        <v>F0</v>
      </c>
      <c r="W6" s="28" t="str">
        <f t="shared" ref="W6" si="4">DEC2HEX(E18*2^4+E17*2^5+E16*2^6+E15*2^7+I18*2^0+I17*2^1+I16*2^2+I15*2^3,2)</f>
        <v>00</v>
      </c>
      <c r="X6" s="28" t="str">
        <f t="shared" ref="X6:Y6" si="5">DEC2HEX(J18*2^4+J17*2^5+J16*2^6+J15*2^7+N18*2^0+N17*2^1+N16*2^2+N15*2^3,2)</f>
        <v>00</v>
      </c>
      <c r="Y6" s="28" t="str">
        <f t="shared" si="5"/>
        <v>90</v>
      </c>
      <c r="Z6" s="28" t="str">
        <f>DEC2HEX(L18*2^4+L17*2^5+L16*2^6+L15*2^7+P18*2^0+P17*2^1+P16*2^2+P15*2^3,2)</f>
        <v>F0</v>
      </c>
      <c r="AA6" s="28" t="str">
        <f>DEC2HEX(M18*2^4+M17*2^5+M16*2^6+M15*2^7+Q18*2^0+Q17*2^1+Q16*2^2+Q15*2^3,2)</f>
        <v>60</v>
      </c>
      <c r="AC6" t="s">
        <v>30</v>
      </c>
      <c r="AD6" t="s">
        <v>35</v>
      </c>
      <c r="AE6" t="s">
        <v>37</v>
      </c>
      <c r="AF6" t="s">
        <v>42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6">DEC2HEX(B22*2^0+B21*2^1+B20*2^2+B19*2^3+F22*2^4+F21*2^5+F20*2^6+F19*2^7,2)</f>
        <v>60</v>
      </c>
      <c r="U7" s="28" t="str">
        <f t="shared" si="6"/>
        <v>6E</v>
      </c>
      <c r="V7" s="28" t="str">
        <f>DEC2HEX(D22*2^0+D21*2^1+D20*2^2+D19*2^3+H22*2^4+H21*2^5+H20*2^6+H19*2^7,2)</f>
        <v>6E</v>
      </c>
      <c r="W7" s="28" t="str">
        <f t="shared" ref="W7" si="7">DEC2HEX(E22*2^0+E21*2^1+E20*2^2+E19*2^3+I22*2^4+I21*2^5+I20*2^6+I19*2^7,2)</f>
        <v>66</v>
      </c>
      <c r="X7" s="28" t="str">
        <f t="shared" ref="X7:Y7" si="8">DEC2HEX(J22*2^0+J21*2^1+J20*2^2+J19*2^3+N22*2^4+N21*2^5+N20*2^6+N19*2^7,2)</f>
        <v>06</v>
      </c>
      <c r="Y7" s="28" t="str">
        <f t="shared" si="8"/>
        <v>0C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00</v>
      </c>
      <c r="AC7" t="s">
        <v>31</v>
      </c>
      <c r="AD7" t="s">
        <v>36</v>
      </c>
      <c r="AE7" t="s">
        <v>43</v>
      </c>
      <c r="AF7" t="s">
        <v>58</v>
      </c>
      <c r="AG7" t="s">
        <v>66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1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9">DEC2HEX(B26*2^4+B25*2^5+B24*2^6+B23*2^7+F26*2^0+F25*2^1+F24*2^2+F23*2^3,2)</f>
        <v>00</v>
      </c>
      <c r="U8" s="28" t="str">
        <f t="shared" si="9"/>
        <v>00</v>
      </c>
      <c r="V8" s="28" t="str">
        <f>DEC2HEX(D26*2^4+D25*2^5+D24*2^6+D23*2^7+H26*2^0+H25*2^1+H24*2^2+H23*2^3,2)</f>
        <v>00</v>
      </c>
      <c r="W8" s="28" t="str">
        <f t="shared" ref="W8" si="10">DEC2HEX(E26*2^4+E25*2^5+E24*2^6+E23*2^7+I26*2^0+I25*2^1+I24*2^2+I23*2^3,2)</f>
        <v>00</v>
      </c>
      <c r="X8" s="28" t="str">
        <f t="shared" ref="X8:Y8" si="11">DEC2HEX(J26*2^4+J25*2^5+J24*2^6+J23*2^7+N26*2^0+N25*2^1+N24*2^2+N23*2^3,2)</f>
        <v>00</v>
      </c>
      <c r="Y8" s="28" t="str">
        <f t="shared" si="11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43</v>
      </c>
      <c r="AF8" t="s">
        <v>56</v>
      </c>
      <c r="AG8" t="s">
        <v>43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45</v>
      </c>
      <c r="AF9" t="s">
        <v>37</v>
      </c>
      <c r="AG9" t="s">
        <v>45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D2_B[8]={0x00,0x00,0x30,0x00,0x60,0x00,0x60,0x00};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2">_xlfn.CONCAT("0x",T3)</f>
        <v>0x30</v>
      </c>
      <c r="U14" t="str">
        <f t="shared" si="12"/>
        <v>0x33</v>
      </c>
      <c r="V14" t="str">
        <f t="shared" si="12"/>
        <v>0x33</v>
      </c>
      <c r="W14" t="str">
        <f t="shared" si="12"/>
        <v>0x33</v>
      </c>
      <c r="X14" t="str">
        <f t="shared" si="12"/>
        <v>0x03</v>
      </c>
      <c r="Y14" t="str">
        <f t="shared" si="12"/>
        <v>0x01</v>
      </c>
      <c r="Z14" t="str">
        <f t="shared" si="12"/>
        <v>0x01</v>
      </c>
      <c r="AA14" t="str">
        <f t="shared" si="12"/>
        <v>0x00</v>
      </c>
      <c r="AC14" t="str">
        <f t="shared" ref="AC14:AC20" si="13">_xlfn.CONCAT("const uint8_t ",AC3,"_",$AB$1,"[8]={0x00,0x00,",AD3,",",AE3,",",AF3,",",AG3,",",AH3,",",AI3,"};")</f>
        <v>const uint8_t C2_B[8]={0x00,0x00,0x33,0xF0,0x6F,0xF0,0x6E,0x00};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2"/>
        <v>0x00</v>
      </c>
      <c r="U15" t="str">
        <f t="shared" si="12"/>
        <v>0xF0</v>
      </c>
      <c r="V15" t="str">
        <f t="shared" si="12"/>
        <v>0xF0</v>
      </c>
      <c r="W15" t="str">
        <f t="shared" si="12"/>
        <v>0x00</v>
      </c>
      <c r="X15" t="str">
        <f t="shared" si="12"/>
        <v>0x00</v>
      </c>
      <c r="Y15" t="str">
        <f t="shared" si="12"/>
        <v>0xF0</v>
      </c>
      <c r="Z15" t="str">
        <f t="shared" si="12"/>
        <v>0xF0</v>
      </c>
      <c r="AA15" t="str">
        <f t="shared" si="12"/>
        <v>0x60</v>
      </c>
      <c r="AC15" t="str">
        <f t="shared" si="13"/>
        <v>const uint8_t B2_B[8]={0x00,0x00,0x33,0xF0,0x6F,0xF0,0x6E,0x00};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2"/>
        <v>0x60</v>
      </c>
      <c r="U16" t="str">
        <f t="shared" si="12"/>
        <v>0x6F</v>
      </c>
      <c r="V16" t="str">
        <f t="shared" si="12"/>
        <v>0x6F</v>
      </c>
      <c r="W16" t="str">
        <f t="shared" si="12"/>
        <v>0x66</v>
      </c>
      <c r="X16" t="str">
        <f t="shared" si="12"/>
        <v>0x0E</v>
      </c>
      <c r="Y16" t="str">
        <f t="shared" si="12"/>
        <v>0x0B</v>
      </c>
      <c r="Z16" t="str">
        <f t="shared" si="12"/>
        <v>0x09</v>
      </c>
      <c r="AA16" t="str">
        <f t="shared" si="12"/>
        <v>0x00</v>
      </c>
      <c r="AC16" t="str">
        <f t="shared" si="13"/>
        <v>const uint8_t A2_B[8]={0x00,0x00,0x33,0x00,0x66,0x00,0x66,0x00};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2"/>
        <v>0x00</v>
      </c>
      <c r="U17" t="str">
        <f t="shared" si="12"/>
        <v>0xF0</v>
      </c>
      <c r="V17" t="str">
        <f t="shared" si="12"/>
        <v>0xF0</v>
      </c>
      <c r="W17" t="str">
        <f t="shared" si="12"/>
        <v>0x00</v>
      </c>
      <c r="X17" t="str">
        <f t="shared" si="12"/>
        <v>0x00</v>
      </c>
      <c r="Y17" t="str">
        <f t="shared" si="12"/>
        <v>0x90</v>
      </c>
      <c r="Z17" t="str">
        <f t="shared" si="12"/>
        <v>0xF0</v>
      </c>
      <c r="AA17" t="str">
        <f t="shared" si="12"/>
        <v>0x60</v>
      </c>
      <c r="AC17" t="str">
        <f t="shared" si="13"/>
        <v>const uint8_t D1_B[8]={0x00,0x00,0x03,0x00,0x0E,0x00,0x06,0x00};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2"/>
        <v>0x60</v>
      </c>
      <c r="U18" t="str">
        <f t="shared" si="12"/>
        <v>0x6E</v>
      </c>
      <c r="V18" t="str">
        <f t="shared" si="12"/>
        <v>0x6E</v>
      </c>
      <c r="W18" t="str">
        <f t="shared" si="12"/>
        <v>0x66</v>
      </c>
      <c r="X18" t="str">
        <f t="shared" si="12"/>
        <v>0x06</v>
      </c>
      <c r="Y18" t="str">
        <f t="shared" si="12"/>
        <v>0x0C</v>
      </c>
      <c r="Z18" t="str">
        <f t="shared" si="12"/>
        <v>0x0C</v>
      </c>
      <c r="AA18" t="str">
        <f t="shared" si="12"/>
        <v>0x00</v>
      </c>
      <c r="AC18" t="str">
        <f t="shared" si="13"/>
        <v>const uint8_t C1_B[8]={0x00,0x00,0x01,0xF0,0x0B,0x90,0x0C,0x00};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2"/>
        <v>0x00</v>
      </c>
      <c r="U19" t="str">
        <f t="shared" si="12"/>
        <v>0x00</v>
      </c>
      <c r="V19" t="str">
        <f t="shared" si="12"/>
        <v>0x00</v>
      </c>
      <c r="W19" t="str">
        <f t="shared" si="12"/>
        <v>0x00</v>
      </c>
      <c r="X19" t="str">
        <f t="shared" si="12"/>
        <v>0x00</v>
      </c>
      <c r="Y19" t="str">
        <f t="shared" si="12"/>
        <v>0x00</v>
      </c>
      <c r="Z19" t="str">
        <f t="shared" si="12"/>
        <v>0x00</v>
      </c>
      <c r="AA19" t="str">
        <f t="shared" si="12"/>
        <v>0x00</v>
      </c>
      <c r="AC19" t="str">
        <f t="shared" si="13"/>
        <v>const uint8_t B1_B[8]={0x00,0x00,0x01,0xF0,0x09,0xF0,0x0C,0x00};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3"/>
        <v>const uint8_t A1_B[8]={0x00,0x00,0x00,0x60,0x00,0x60,0x00,0x00};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55" priority="1" operator="equal">
      <formula>2</formula>
    </cfRule>
    <cfRule type="cellIs" dxfId="154" priority="2" operator="equal">
      <formula>1</formula>
    </cfRule>
    <cfRule type="cellIs" dxfId="153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73A2F-6A86-4906-AF7B-DB8F5455352A}">
  <sheetPr codeName="Planilha18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48</v>
      </c>
      <c r="AF2" t="s">
        <v>37</v>
      </c>
      <c r="AG2" t="s">
        <v>36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10</v>
      </c>
      <c r="U3" s="28" t="str">
        <f>DEC2HEX(C6*2^0+C5*2^1+C4*2^2+C3*2^3+G6*2^4+G5*2^5+G4*2^6+G3*2^7,2)</f>
        <v>10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13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33</v>
      </c>
      <c r="AE3" t="s">
        <v>81</v>
      </c>
      <c r="AF3" t="s">
        <v>40</v>
      </c>
      <c r="AG3" t="s">
        <v>44</v>
      </c>
      <c r="AH3" t="s">
        <v>44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0C</v>
      </c>
      <c r="U4" s="28" t="str">
        <f>DEC2HEX(C10*2^4+C9*2^5+C8*2^6+C7*2^7+G10*2^0+G9*2^1+G8*2^2+G7*2^3,2)</f>
        <v>18</v>
      </c>
      <c r="V4" s="28" t="str">
        <f>DEC2HEX(D10*2^4+D9*2^5+D8*2^6+D7*2^7+H10*2^0+H9*2^1+H8*2^2+H7*2^3,2)</f>
        <v>70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34</v>
      </c>
      <c r="AE4" t="s">
        <v>51</v>
      </c>
      <c r="AF4" t="s">
        <v>40</v>
      </c>
      <c r="AG4" t="s">
        <v>43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0F</v>
      </c>
      <c r="V5" s="28" t="str">
        <f>DEC2HEX(D14*2^0+D13*2^1+D12*2^2+D11*2^3+H14*2^4+H13*2^5+H12*2^6+H11*2^7,2)</f>
        <v>0F</v>
      </c>
      <c r="W5" s="28" t="str">
        <f t="shared" ref="W5" si="2">DEC2HEX(E14*2^0+E13*2^1+E12*2^2+E11*2^3+I14*2^4+I13*2^5+I12*2^6+I11*2^7,2)</f>
        <v>08</v>
      </c>
      <c r="X5" s="28" t="str">
        <f t="shared" ref="X5:Y5" si="3">DEC2HEX(J14*2^0+J13*2^1+J12*2^2+J11*2^3+N14*2^4+N13*2^5+N12*2^6+N11*2^7,2)</f>
        <v>00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34</v>
      </c>
      <c r="AE5" t="s">
        <v>43</v>
      </c>
      <c r="AF5" t="s">
        <v>41</v>
      </c>
      <c r="AG5" t="s">
        <v>51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01</v>
      </c>
      <c r="U6" s="28" t="str">
        <f t="shared" si="4"/>
        <v>C0</v>
      </c>
      <c r="V6" s="28" t="str">
        <f>DEC2HEX(D18*2^4+D17*2^5+D16*2^6+D15*2^7+H18*2^0+H17*2^1+H16*2^2+H15*2^3,2)</f>
        <v>F0</v>
      </c>
      <c r="W6" s="28" t="str">
        <f t="shared" ref="W6" si="5">DEC2HEX(E18*2^4+E17*2^5+E16*2^6+E15*2^7+I18*2^0+I17*2^1+I16*2^2+I15*2^3,2)</f>
        <v>70</v>
      </c>
      <c r="X6" s="28" t="str">
        <f t="shared" ref="X6:Y6" si="6">DEC2HEX(J18*2^4+J17*2^5+J16*2^6+J15*2^7+N18*2^0+N17*2^1+N16*2^2+N15*2^3,2)</f>
        <v>00</v>
      </c>
      <c r="Y6" s="28" t="str">
        <f t="shared" si="6"/>
        <v>00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79</v>
      </c>
      <c r="AE6" t="s">
        <v>37</v>
      </c>
      <c r="AF6" t="s">
        <v>37</v>
      </c>
      <c r="AG6" t="s">
        <v>37</v>
      </c>
      <c r="AH6" t="s">
        <v>80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C0</v>
      </c>
      <c r="U7" s="28" t="str">
        <f t="shared" si="7"/>
        <v>C0</v>
      </c>
      <c r="V7" s="28" t="str">
        <f>DEC2HEX(D22*2^0+D21*2^1+D20*2^2+D19*2^3+H22*2^4+H21*2^5+H20*2^6+H19*2^7,2)</f>
        <v>60</v>
      </c>
      <c r="W7" s="28" t="str">
        <f t="shared" ref="W7" si="8">DEC2HEX(E22*2^0+E21*2^1+E20*2^2+E19*2^3+I22*2^4+I21*2^5+I20*2^6+I19*2^7,2)</f>
        <v>68</v>
      </c>
      <c r="X7" s="28" t="str">
        <f t="shared" ref="X7:Y7" si="9">DEC2HEX(J22*2^0+J21*2^1+J20*2^2+J19*2^3+N22*2^4+N21*2^5+N20*2^6+N19*2^7,2)</f>
        <v>46</v>
      </c>
      <c r="Y7" s="28" t="str">
        <f t="shared" si="9"/>
        <v>06</v>
      </c>
      <c r="Z7" s="28" t="str">
        <f>DEC2HEX(L22*2^0+L21*2^1+L20*2^2+L19*2^3+P22*2^4+P21*2^5+P20*2^6+P19*2^7,2)</f>
        <v>06</v>
      </c>
      <c r="AA7" s="28" t="str">
        <f>DEC2HEX(M22*2^0+M21*2^1+M20*2^2+M19*2^3+Q22*2^4+Q21*2^5+Q20*2^6+Q19*2^7,2)</f>
        <v>06</v>
      </c>
      <c r="AC7" t="s">
        <v>31</v>
      </c>
      <c r="AD7" t="s">
        <v>35</v>
      </c>
      <c r="AE7" t="s">
        <v>37</v>
      </c>
      <c r="AF7" t="s">
        <v>37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37</v>
      </c>
      <c r="AF8" t="s">
        <v>37</v>
      </c>
      <c r="AG8" t="s">
        <v>37</v>
      </c>
      <c r="AH8" t="s">
        <v>47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37</v>
      </c>
      <c r="AF9" t="s">
        <v>37</v>
      </c>
      <c r="AG9" t="s">
        <v>37</v>
      </c>
      <c r="AH9" t="s">
        <v>47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D2_C[8]={0x00,0x00,0x10,0x0C,0x00,0x01,0xC0,0x00};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0x10</v>
      </c>
      <c r="U14" t="str">
        <f t="shared" si="13"/>
        <v>0x10</v>
      </c>
      <c r="V14" t="str">
        <f t="shared" si="13"/>
        <v>0x30</v>
      </c>
      <c r="W14" t="str">
        <f t="shared" si="13"/>
        <v>0x30</v>
      </c>
      <c r="X14" t="str">
        <f t="shared" si="13"/>
        <v>0x13</v>
      </c>
      <c r="Y14" t="str">
        <f t="shared" si="13"/>
        <v>0x03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C2_C[8]={0x00,0x00,0x10,0x18,0x0F,0xC0,0xC0,0x00};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0x0C</v>
      </c>
      <c r="U15" t="str">
        <f t="shared" si="13"/>
        <v>0x18</v>
      </c>
      <c r="V15" t="str">
        <f t="shared" si="13"/>
        <v>0x70</v>
      </c>
      <c r="W15" t="str">
        <f t="shared" si="13"/>
        <v>0xF0</v>
      </c>
      <c r="X15" t="str">
        <f t="shared" si="13"/>
        <v>0x00</v>
      </c>
      <c r="Y15" t="str">
        <f t="shared" si="13"/>
        <v>0x00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B2_C[8]={0x00,0x00,0x30,0x70,0x0F,0xF0,0x60,0x00};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0x0F</v>
      </c>
      <c r="V16" t="str">
        <f t="shared" si="13"/>
        <v>0x0F</v>
      </c>
      <c r="W16" t="str">
        <f t="shared" si="13"/>
        <v>0x08</v>
      </c>
      <c r="X16" t="str">
        <f t="shared" si="13"/>
        <v>0x00</v>
      </c>
      <c r="Y16" t="str">
        <f t="shared" si="13"/>
        <v>0x00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A2_C[8]={0x00,0x00,0x30,0xF0,0x08,0x70,0x68,0x00};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0x01</v>
      </c>
      <c r="U17" t="str">
        <f t="shared" si="13"/>
        <v>0xC0</v>
      </c>
      <c r="V17" t="str">
        <f t="shared" si="13"/>
        <v>0xF0</v>
      </c>
      <c r="W17" t="str">
        <f t="shared" si="13"/>
        <v>0x70</v>
      </c>
      <c r="X17" t="str">
        <f t="shared" si="13"/>
        <v>0x00</v>
      </c>
      <c r="Y17" t="str">
        <f t="shared" si="13"/>
        <v>0x00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D1_C[8]={0x00,0x00,0x13,0x00,0x00,0x00,0x46,0x00};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0xC0</v>
      </c>
      <c r="U18" t="str">
        <f t="shared" si="13"/>
        <v>0xC0</v>
      </c>
      <c r="V18" t="str">
        <f t="shared" si="13"/>
        <v>0x60</v>
      </c>
      <c r="W18" t="str">
        <f t="shared" si="13"/>
        <v>0x68</v>
      </c>
      <c r="X18" t="str">
        <f t="shared" si="13"/>
        <v>0x46</v>
      </c>
      <c r="Y18" t="str">
        <f t="shared" si="13"/>
        <v>0x06</v>
      </c>
      <c r="Z18" t="str">
        <f t="shared" si="13"/>
        <v>0x06</v>
      </c>
      <c r="AA18" t="str">
        <f t="shared" si="13"/>
        <v>0x06</v>
      </c>
      <c r="AC18" t="str">
        <f t="shared" si="14"/>
        <v>const uint8_t C1_C[8]={0x00,0x00,0x03,0x00,0x00,0x00,0x06,0x00};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B1_C[8]={0x00,0x00,0x03,0x00,0x00,0x00,0x06,0x00};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1</v>
      </c>
      <c r="O20" s="10">
        <v>0</v>
      </c>
      <c r="P20" s="10">
        <v>0</v>
      </c>
      <c r="Q20" s="10">
        <v>0</v>
      </c>
      <c r="AC20" t="str">
        <f t="shared" si="14"/>
        <v>const uint8_t A1_C[8]={0x00,0x00,0x03,0x00,0x00,0x00,0x06,0x00};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52" priority="1" operator="equal">
      <formula>2</formula>
    </cfRule>
    <cfRule type="cellIs" dxfId="151" priority="2" operator="equal">
      <formula>1</formula>
    </cfRule>
    <cfRule type="cellIs" dxfId="150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EAC13-11AC-4B62-9A05-D8170E5A4630}">
  <sheetPr codeName="Planilha19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33</v>
      </c>
      <c r="V3" s="28" t="str">
        <f>DEC2HEX(D6*2^0+D5*2^1+D4*2^2+D3*2^3+H6*2^4+H5*2^5+H4*2^6+H3*2^7,2)</f>
        <v>33</v>
      </c>
      <c r="W3" s="28" t="str">
        <f>DEC2HEX(E6*2^0+E5*2^1+E4*2^2+E3*2^3+I6*2^4+I5*2^5+I4*2^6+I3*2^7,2)</f>
        <v>33</v>
      </c>
      <c r="X3" s="28" t="str">
        <f>DEC2HEX(J6*2^0+J5*2^1+J4*2^2+J3*2^3+N6*2^4+N5*2^5+N4*2^6+N3*2^7,2)</f>
        <v>01</v>
      </c>
      <c r="Y3" s="28" t="str">
        <f t="shared" ref="Y3" si="0">DEC2HEX(K6*2^0+K5*2^1+K4*2^2+K3*2^3+O6*2^4+O5*2^5+O4*2^6+O3*2^7,2)</f>
        <v>01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60</v>
      </c>
      <c r="AE3" t="s">
        <v>43</v>
      </c>
      <c r="AF3" t="s">
        <v>40</v>
      </c>
      <c r="AG3" t="s">
        <v>43</v>
      </c>
      <c r="AH3" t="s">
        <v>54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F0</v>
      </c>
      <c r="V4" s="28" t="str">
        <f>DEC2HEX(D10*2^4+D9*2^5+D8*2^6+D7*2^7+H10*2^0+H9*2^1+H8*2^2+H7*2^3,2)</f>
        <v>F0</v>
      </c>
      <c r="W4" s="28" t="str">
        <f>DEC2HEX(E10*2^4+E9*2^5+E8*2^6+E7*2^7+I10*2^0+I9*2^1+I8*2^2+I7*2^3,2)</f>
        <v>00</v>
      </c>
      <c r="X4" s="28" t="str">
        <f>DEC2HEX(J10*2^4+J9*2^5+J8*2^6+J7*2^7+N10*2^0+N9*2^1+N8*2^2+N7*2^3,2)</f>
        <v>81</v>
      </c>
      <c r="Y4" s="28" t="str">
        <f>DEC2HEX(K10*2^4+K9*2^5+K8*2^6+K7*2^7+O10*2^0+O9*2^1+O8*2^2+O7*2^3,2)</f>
        <v>C0</v>
      </c>
      <c r="Z4" s="28" t="str">
        <f>DEC2HEX(L10*2^4+L9*2^5+L8*2^6+L7*2^7+P10*2^0+P9*2^1+P8*2^2+P7*2^3,2)</f>
        <v>F0</v>
      </c>
      <c r="AA4" s="28" t="str">
        <f>DEC2HEX(M10*2^4+M9*2^5+M8*2^6+M7*2^7+Q10*2^0+Q9*2^1+Q8*2^2+Q7*2^3,2)</f>
        <v>70</v>
      </c>
      <c r="AC4" t="s">
        <v>29</v>
      </c>
      <c r="AD4" t="s">
        <v>60</v>
      </c>
      <c r="AE4" t="s">
        <v>43</v>
      </c>
      <c r="AF4" t="s">
        <v>40</v>
      </c>
      <c r="AG4" t="s">
        <v>43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0F</v>
      </c>
      <c r="V5" s="28" t="str">
        <f>DEC2HEX(D14*2^0+D13*2^1+D12*2^2+D11*2^3+H14*2^4+H13*2^5+H12*2^6+H11*2^7,2)</f>
        <v>0F</v>
      </c>
      <c r="W5" s="28" t="str">
        <f t="shared" ref="W5" si="2">DEC2HEX(E14*2^0+E13*2^1+E12*2^2+E11*2^3+I14*2^4+I13*2^5+I12*2^6+I11*2^7,2)</f>
        <v>00</v>
      </c>
      <c r="X5" s="28" t="str">
        <f t="shared" ref="X5:Y5" si="3">DEC2HEX(J14*2^0+J13*2^1+J12*2^2+J11*2^3+N14*2^4+N13*2^5+N12*2^6+N11*2^7,2)</f>
        <v>F0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0F</v>
      </c>
      <c r="AC5" t="s">
        <v>2</v>
      </c>
      <c r="AD5" t="s">
        <v>60</v>
      </c>
      <c r="AE5" t="s">
        <v>37</v>
      </c>
      <c r="AF5" t="s">
        <v>37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F0</v>
      </c>
      <c r="V6" s="28" t="str">
        <f>DEC2HEX(D18*2^4+D17*2^5+D16*2^6+D15*2^7+H18*2^0+H17*2^1+H16*2^2+H15*2^3,2)</f>
        <v>F0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0C</v>
      </c>
      <c r="Y6" s="28" t="str">
        <f t="shared" si="6"/>
        <v>10</v>
      </c>
      <c r="Z6" s="28" t="str">
        <f>DEC2HEX(L18*2^4+L17*2^5+L16*2^6+L15*2^7+P18*2^0+P17*2^1+P16*2^2+P15*2^3,2)</f>
        <v>F0</v>
      </c>
      <c r="AA6" s="28" t="str">
        <f>DEC2HEX(M18*2^4+M17*2^5+M16*2^6+M15*2^7+Q18*2^0+Q17*2^1+Q16*2^2+Q15*2^3,2)</f>
        <v>F0</v>
      </c>
      <c r="AC6" t="s">
        <v>30</v>
      </c>
      <c r="AD6" t="s">
        <v>36</v>
      </c>
      <c r="AE6" t="s">
        <v>64</v>
      </c>
      <c r="AF6" t="s">
        <v>43</v>
      </c>
      <c r="AG6" t="s">
        <v>48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6E</v>
      </c>
      <c r="V7" s="28" t="str">
        <f>DEC2HEX(D22*2^0+D21*2^1+D20*2^2+D19*2^3+H22*2^4+H21*2^5+H20*2^6+H19*2^7,2)</f>
        <v>6E</v>
      </c>
      <c r="W7" s="28" t="str">
        <f t="shared" ref="W7" si="8">DEC2HEX(E22*2^0+E21*2^1+E20*2^2+E19*2^3+I22*2^4+I21*2^5+I20*2^6+I19*2^7,2)</f>
        <v>66</v>
      </c>
      <c r="X7" s="28" t="str">
        <f t="shared" ref="X7:Y7" si="9">DEC2HEX(J22*2^0+J21*2^1+J20*2^2+J19*2^3+N22*2^4+N21*2^5+N20*2^6+N19*2^7,2)</f>
        <v>0C</v>
      </c>
      <c r="Y7" s="28" t="str">
        <f t="shared" si="9"/>
        <v>0C</v>
      </c>
      <c r="Z7" s="28" t="str">
        <f>DEC2HEX(L22*2^0+L21*2^1+L20*2^2+L19*2^3+P22*2^4+P21*2^5+P20*2^6+P19*2^7,2)</f>
        <v>08</v>
      </c>
      <c r="AA7" s="28" t="str">
        <f>DEC2HEX(M22*2^0+M21*2^1+M20*2^2+M19*2^3+Q22*2^4+Q21*2^5+Q20*2^6+Q19*2^7,2)</f>
        <v>00</v>
      </c>
      <c r="AC7" t="s">
        <v>31</v>
      </c>
      <c r="AD7" t="s">
        <v>36</v>
      </c>
      <c r="AE7" t="s">
        <v>44</v>
      </c>
      <c r="AF7" t="s">
        <v>37</v>
      </c>
      <c r="AG7" t="s">
        <v>33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1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43</v>
      </c>
      <c r="AF8" t="s">
        <v>37</v>
      </c>
      <c r="AG8" t="s">
        <v>43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51</v>
      </c>
      <c r="AF9" t="s">
        <v>40</v>
      </c>
      <c r="AG9" t="s">
        <v>43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1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1</v>
      </c>
      <c r="N12" s="10">
        <v>1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D2_D[8]={0x00,0x00,0x30,0x00,0x00,0x00,0x60,0x00};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0x33</v>
      </c>
      <c r="V14" t="str">
        <f t="shared" si="13"/>
        <v>0x33</v>
      </c>
      <c r="W14" t="str">
        <f t="shared" si="13"/>
        <v>0x33</v>
      </c>
      <c r="X14" t="str">
        <f t="shared" si="13"/>
        <v>0x01</v>
      </c>
      <c r="Y14" t="str">
        <f t="shared" si="13"/>
        <v>0x01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C2_D[8]={0x00,0x00,0x33,0xF0,0x0F,0xF0,0x6E,0x00};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0xF0</v>
      </c>
      <c r="V15" t="str">
        <f t="shared" si="13"/>
        <v>0xF0</v>
      </c>
      <c r="W15" t="str">
        <f t="shared" si="13"/>
        <v>0x00</v>
      </c>
      <c r="X15" t="str">
        <f t="shared" si="13"/>
        <v>0x81</v>
      </c>
      <c r="Y15" t="str">
        <f t="shared" si="13"/>
        <v>0xC0</v>
      </c>
      <c r="Z15" t="str">
        <f t="shared" si="13"/>
        <v>0xF0</v>
      </c>
      <c r="AA15" t="str">
        <f t="shared" si="13"/>
        <v>0x70</v>
      </c>
      <c r="AC15" t="str">
        <f t="shared" si="14"/>
        <v>const uint8_t B2_D[8]={0x00,0x00,0x33,0xF0,0x0F,0xF0,0x6E,0x00};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3"/>
        <v>0x00</v>
      </c>
      <c r="U16" t="str">
        <f t="shared" si="13"/>
        <v>0x0F</v>
      </c>
      <c r="V16" t="str">
        <f t="shared" si="13"/>
        <v>0x0F</v>
      </c>
      <c r="W16" t="str">
        <f t="shared" si="13"/>
        <v>0x00</v>
      </c>
      <c r="X16" t="str">
        <f t="shared" si="13"/>
        <v>0xF0</v>
      </c>
      <c r="Y16" t="str">
        <f t="shared" si="13"/>
        <v>0x00</v>
      </c>
      <c r="Z16" t="str">
        <f t="shared" si="13"/>
        <v>0x00</v>
      </c>
      <c r="AA16" t="str">
        <f t="shared" si="13"/>
        <v>0x0F</v>
      </c>
      <c r="AC16" t="str">
        <f t="shared" si="14"/>
        <v>const uint8_t A2_D[8]={0x00,0x00,0x33,0x00,0x00,0x00,0x66,0x00};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0xF0</v>
      </c>
      <c r="V17" t="str">
        <f t="shared" si="13"/>
        <v>0xF0</v>
      </c>
      <c r="W17" t="str">
        <f t="shared" si="13"/>
        <v>0x00</v>
      </c>
      <c r="X17" t="str">
        <f t="shared" si="13"/>
        <v>0x0C</v>
      </c>
      <c r="Y17" t="str">
        <f t="shared" si="13"/>
        <v>0x10</v>
      </c>
      <c r="Z17" t="str">
        <f t="shared" si="13"/>
        <v>0xF0</v>
      </c>
      <c r="AA17" t="str">
        <f t="shared" si="13"/>
        <v>0xF0</v>
      </c>
      <c r="AC17" t="str">
        <f t="shared" si="14"/>
        <v>const uint8_t D1_D[8]={0x00,0x00,0x01,0x81,0xF0,0x0C,0x0C,0x00};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0x6E</v>
      </c>
      <c r="V18" t="str">
        <f t="shared" si="13"/>
        <v>0x6E</v>
      </c>
      <c r="W18" t="str">
        <f t="shared" si="13"/>
        <v>0x66</v>
      </c>
      <c r="X18" t="str">
        <f t="shared" si="13"/>
        <v>0x0C</v>
      </c>
      <c r="Y18" t="str">
        <f t="shared" si="13"/>
        <v>0x0C</v>
      </c>
      <c r="Z18" t="str">
        <f t="shared" si="13"/>
        <v>0x08</v>
      </c>
      <c r="AA18" t="str">
        <f t="shared" si="13"/>
        <v>0x00</v>
      </c>
      <c r="AC18" t="str">
        <f t="shared" si="14"/>
        <v>const uint8_t C1_D[8]={0x00,0x00,0x01,0xC0,0x00,0x10,0x0C,0x00};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1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B1_D[8]={0x00,0x00,0x00,0xF0,0x00,0xF0,0x08,0x00};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A1_D[8]={0x00,0x00,0x00,0x70,0x0F,0xF0,0x00,0x00};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49" priority="1" operator="equal">
      <formula>2</formula>
    </cfRule>
    <cfRule type="cellIs" dxfId="148" priority="2" operator="equal">
      <formula>1</formula>
    </cfRule>
    <cfRule type="cellIs" dxfId="147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5E90E-FAAA-46B8-8807-B8EB74296108}">
  <sheetPr codeName="Planilha20"/>
  <dimension ref="A1:AI30"/>
  <sheetViews>
    <sheetView workbookViewId="0">
      <selection activeCell="T3" sqref="T3:AA8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109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45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33</v>
      </c>
      <c r="V3" s="28" t="str">
        <f>DEC2HEX(D6*2^0+D5*2^1+D4*2^2+D3*2^3+H6*2^4+H5*2^5+H4*2^6+H3*2^7,2)</f>
        <v>33</v>
      </c>
      <c r="W3" s="28" t="str">
        <f>DEC2HEX(E6*2^0+E5*2^1+E4*2^2+E3*2^3+I6*2^4+I5*2^5+I4*2^6+I3*2^7,2)</f>
        <v>33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60</v>
      </c>
      <c r="AE3" t="s">
        <v>43</v>
      </c>
      <c r="AF3" t="s">
        <v>78</v>
      </c>
      <c r="AG3" t="s">
        <v>43</v>
      </c>
      <c r="AH3" t="s">
        <v>54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F0</v>
      </c>
      <c r="V4" s="28" t="str">
        <f>DEC2HEX(D10*2^4+D9*2^5+D8*2^6+D7*2^7+H10*2^0+H9*2^1+H8*2^2+H7*2^3,2)</f>
        <v>F0</v>
      </c>
      <c r="W4" s="28" t="str">
        <f>DEC2HEX(E10*2^4+E9*2^5+E8*2^6+E7*2^7+I10*2^0+I9*2^1+I8*2^2+I7*2^3,2)</f>
        <v>00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60</v>
      </c>
      <c r="AE4" t="s">
        <v>43</v>
      </c>
      <c r="AF4" t="s">
        <v>78</v>
      </c>
      <c r="AG4" t="s">
        <v>43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60</v>
      </c>
      <c r="U5" s="28" t="str">
        <f t="shared" si="1"/>
        <v>6F</v>
      </c>
      <c r="V5" s="28" t="str">
        <f>DEC2HEX(D14*2^0+D13*2^1+D12*2^2+D11*2^3+H14*2^4+H13*2^5+H12*2^6+H11*2^7,2)</f>
        <v>6F</v>
      </c>
      <c r="W5" s="28" t="str">
        <f t="shared" ref="W5" si="2">DEC2HEX(E14*2^0+E13*2^1+E12*2^2+E11*2^3+I14*2^4+I13*2^5+I12*2^6+I11*2^7,2)</f>
        <v>66</v>
      </c>
      <c r="X5" s="28" t="str">
        <f t="shared" ref="X5:Y5" si="3">DEC2HEX(J14*2^0+J13*2^1+J12*2^2+J11*2^3+N14*2^4+N13*2^5+N12*2^6+N11*2^7,2)</f>
        <v>06</v>
      </c>
      <c r="Y5" s="28" t="str">
        <f t="shared" si="3"/>
        <v>06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52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F0</v>
      </c>
      <c r="V6" s="28" t="str">
        <f>DEC2HEX(D18*2^4+D17*2^5+D16*2^6+D15*2^7+H18*2^0+H17*2^1+H16*2^2+H15*2^3,2)</f>
        <v>F0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00</v>
      </c>
      <c r="Y6" s="28" t="str">
        <f t="shared" si="6"/>
        <v>00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35</v>
      </c>
      <c r="AE6" t="s">
        <v>37</v>
      </c>
      <c r="AF6" t="s">
        <v>47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6E</v>
      </c>
      <c r="V7" s="28" t="str">
        <f>DEC2HEX(D22*2^0+D21*2^1+D20*2^2+D19*2^3+H22*2^4+H21*2^5+H20*2^6+H19*2^7,2)</f>
        <v>6E</v>
      </c>
      <c r="W7" s="28" t="str">
        <f t="shared" ref="W7" si="8">DEC2HEX(E22*2^0+E21*2^1+E20*2^2+E19*2^3+I22*2^4+I21*2^5+I20*2^6+I19*2^7,2)</f>
        <v>66</v>
      </c>
      <c r="X7" s="28" t="str">
        <f t="shared" ref="X7:Y7" si="9">DEC2HEX(J22*2^0+J21*2^1+J20*2^2+J19*2^3+N22*2^4+N21*2^5+N20*2^6+N19*2^7,2)</f>
        <v>06</v>
      </c>
      <c r="Y7" s="28" t="str">
        <f t="shared" si="9"/>
        <v>06</v>
      </c>
      <c r="Z7" s="28" t="str">
        <f>DEC2HEX(L22*2^0+L21*2^1+L20*2^2+L19*2^3+P22*2^4+P21*2^5+P20*2^6+P19*2^7,2)</f>
        <v>00</v>
      </c>
      <c r="AA7" s="28" t="str">
        <f>DEC2HEX(M22*2^0+M21*2^1+M20*2^2+M19*2^3+Q22*2^4+Q21*2^5+Q20*2^6+Q19*2^7,2)</f>
        <v>00</v>
      </c>
      <c r="AC7" t="s">
        <v>31</v>
      </c>
      <c r="AD7" t="s">
        <v>35</v>
      </c>
      <c r="AE7" t="s">
        <v>37</v>
      </c>
      <c r="AF7" t="s">
        <v>47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D2_E[8]={0x00,0x00,0x30,0x00,0x60,0x00,0x60,0x00};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0x30</v>
      </c>
      <c r="U14" t="str">
        <f t="shared" si="13"/>
        <v>0x33</v>
      </c>
      <c r="V14" t="str">
        <f t="shared" si="13"/>
        <v>0x33</v>
      </c>
      <c r="W14" t="str">
        <f t="shared" si="13"/>
        <v>0x33</v>
      </c>
      <c r="X14" t="str">
        <f t="shared" si="13"/>
        <v>0x03</v>
      </c>
      <c r="Y14" t="str">
        <f t="shared" si="13"/>
        <v>0x03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C2_E[8]={0x00,0x00,0x33,0xF0,0x6F,0xF0,0x6E,0x00};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0xF0</v>
      </c>
      <c r="V15" t="str">
        <f t="shared" si="13"/>
        <v>0xF0</v>
      </c>
      <c r="W15" t="str">
        <f t="shared" si="13"/>
        <v>0x00</v>
      </c>
      <c r="X15" t="str">
        <f t="shared" si="13"/>
        <v>0x00</v>
      </c>
      <c r="Y15" t="str">
        <f t="shared" si="13"/>
        <v>0x00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B2_E[8]={0x00,0x00,0x33,0xF0,0x6F,0xF0,0x6E,0x00};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0x60</v>
      </c>
      <c r="U16" t="str">
        <f t="shared" si="13"/>
        <v>0x6F</v>
      </c>
      <c r="V16" t="str">
        <f t="shared" si="13"/>
        <v>0x6F</v>
      </c>
      <c r="W16" t="str">
        <f t="shared" si="13"/>
        <v>0x66</v>
      </c>
      <c r="X16" t="str">
        <f t="shared" si="13"/>
        <v>0x06</v>
      </c>
      <c r="Y16" t="str">
        <f t="shared" si="13"/>
        <v>0x06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A2_E[8]={0x00,0x00,0x33,0x00,0x66,0x00,0x66,0x00};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0xF0</v>
      </c>
      <c r="V17" t="str">
        <f t="shared" si="13"/>
        <v>0xF0</v>
      </c>
      <c r="W17" t="str">
        <f t="shared" si="13"/>
        <v>0x00</v>
      </c>
      <c r="X17" t="str">
        <f t="shared" si="13"/>
        <v>0x00</v>
      </c>
      <c r="Y17" t="str">
        <f t="shared" si="13"/>
        <v>0x00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D1_E[8]={0x00,0x00,0x03,0x00,0x06,0x00,0x06,0x00};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0x60</v>
      </c>
      <c r="U18" t="str">
        <f t="shared" si="13"/>
        <v>0x6E</v>
      </c>
      <c r="V18" t="str">
        <f t="shared" si="13"/>
        <v>0x6E</v>
      </c>
      <c r="W18" t="str">
        <f t="shared" si="13"/>
        <v>0x66</v>
      </c>
      <c r="X18" t="str">
        <f t="shared" si="13"/>
        <v>0x06</v>
      </c>
      <c r="Y18" t="str">
        <f t="shared" si="13"/>
        <v>0x06</v>
      </c>
      <c r="Z18" t="str">
        <f t="shared" si="13"/>
        <v>0x00</v>
      </c>
      <c r="AA18" t="str">
        <f t="shared" si="13"/>
        <v>0x00</v>
      </c>
      <c r="AC18" t="str">
        <f t="shared" si="14"/>
        <v>const uint8_t C1_E[8]={0x00,0x00,0x03,0x00,0x06,0x00,0x06,0x00};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B1_E[8]={0x00,0x00,0x00,0x00,0x00,0x00,0x00,0x00};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A1_E[8]={0x00,0x00,0x00,0x00,0x00,0x00,0x00,0x00};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46" priority="1" operator="equal">
      <formula>2</formula>
    </cfRule>
    <cfRule type="cellIs" dxfId="145" priority="2" operator="equal">
      <formula>1</formula>
    </cfRule>
    <cfRule type="cellIs" dxfId="144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5E399-88C3-445C-B8CE-0014048C6C2D}">
  <sheetPr codeName="Planilha21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45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03</v>
      </c>
      <c r="Y3" t="str">
        <f>DEC2HEX(K6*2^0+K5*2^1+K4*2^2+K3*2^3+O6*2^4+O5*2^5+O4*2^6+O3*2^7,2)</f>
        <v>03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40</v>
      </c>
      <c r="AF3" t="s">
        <v>78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40</v>
      </c>
      <c r="AF4" t="s">
        <v>78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60</v>
      </c>
      <c r="U5" t="str">
        <f>DEC2HEX(C14*2^0+C13*2^1+C12*2^2+C11*2^3+G14*2^4+G13*2^5+G12*2^6+G11*2^7,2)</f>
        <v>6F</v>
      </c>
      <c r="V5" t="str">
        <f>DEC2HEX(D14*2^0+D13*2^1+D12*2^2+D11*2^3+H14*2^4+H13*2^5+H12*2^6+H11*2^7,2)</f>
        <v>6F</v>
      </c>
      <c r="W5" t="str">
        <f>DEC2HEX(E14*2^0+E13*2^1+E12*2^2+E11*2^3+I14*2^4+I13*2^5+I12*2^6+I11*2^7,2)</f>
        <v>66</v>
      </c>
      <c r="X5" t="str">
        <f>DEC2HEX(J14*2^0+J13*2^1+J12*2^2+J11*2^3+N14*2^4+N13*2^5+N12*2^6+N11*2^7,2)</f>
        <v>06</v>
      </c>
      <c r="Y5" t="str">
        <f>DEC2HEX(K14*2^0+K13*2^1+K12*2^2+K11*2^3+O14*2^4+O13*2^5+O12*2^6+O11*2^7,2)</f>
        <v>06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52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35</v>
      </c>
      <c r="AE6" t="s">
        <v>37</v>
      </c>
      <c r="AF6" t="s">
        <v>47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35</v>
      </c>
      <c r="AE7" t="s">
        <v>37</v>
      </c>
      <c r="AF7" t="s">
        <v>47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F_D2[6]={0x30,0x00,0x60,0x00,0x00,0x00};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0x03</v>
      </c>
      <c r="Y14" t="str">
        <f t="shared" si="1"/>
        <v>0x03</v>
      </c>
      <c r="Z14" t="str">
        <f t="shared" si="1"/>
        <v>0x00</v>
      </c>
      <c r="AA14" t="str">
        <f t="shared" si="1"/>
        <v>0x00</v>
      </c>
      <c r="AC14" t="str">
        <f t="shared" si="0"/>
        <v>const uint8_t F_C2[6]={0x33,0x0F,0x6F,0x0F,0x0E,0x00};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F_B2[6]={0x33,0x0F,0x6F,0x0F,0x0E,0x00};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0x60</v>
      </c>
      <c r="U16" t="str">
        <f t="shared" si="1"/>
        <v>0x6F</v>
      </c>
      <c r="V16" t="str">
        <f t="shared" si="1"/>
        <v>0x6F</v>
      </c>
      <c r="W16" t="str">
        <f t="shared" si="1"/>
        <v>0x66</v>
      </c>
      <c r="X16" t="str">
        <f t="shared" si="1"/>
        <v>0x06</v>
      </c>
      <c r="Y16" t="str">
        <f t="shared" si="1"/>
        <v>0x06</v>
      </c>
      <c r="Z16" t="str">
        <f t="shared" si="1"/>
        <v>0x00</v>
      </c>
      <c r="AA16" t="str">
        <f t="shared" si="1"/>
        <v>0x00</v>
      </c>
      <c r="AC16" t="str">
        <f t="shared" si="0"/>
        <v>const uint8_t F_A2[6]={0x33,0x00,0x66,0x00,0x00,0x00};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F_D1[6]={0x03,0x00,0x06,0x00,0x00,0x00};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F_C1[6]={0x03,0x00,0x06,0x00,0x00,0x00};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F_B1[6]={0x00,0x00,0x00,0x00,0x00,0x00};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F_A1[6]={0x00,0x00,0x00,0x00,0x00,0x00};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43" priority="1" operator="equal">
      <formula>2</formula>
    </cfRule>
    <cfRule type="cellIs" dxfId="142" priority="2" operator="equal">
      <formula>1</formula>
    </cfRule>
    <cfRule type="cellIs" dxfId="141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F718F-47AD-4A89-AE83-4C3D8EF448CE}">
  <sheetPr codeName="Planilha22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44</v>
      </c>
      <c r="AF2" t="s">
        <v>37</v>
      </c>
      <c r="AG2" t="s">
        <v>33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10</v>
      </c>
      <c r="U3" t="str">
        <f>DEC2HEX(C6*2^0+C5*2^1+C4*2^2+C3*2^3+G6*2^4+G5*2^5+G4*2^6+G3*2^7,2)</f>
        <v>10</v>
      </c>
      <c r="V3" t="str">
        <f>DEC2HEX(D6*2^0+D5*2^1+D4*2^2+D3*2^3+H6*2^4+H5*2^5+H4*2^6+H3*2^7,2)</f>
        <v>30</v>
      </c>
      <c r="W3" t="str">
        <f>DEC2HEX(E6*2^0+E5*2^1+E4*2^2+E3*2^3+I6*2^4+I5*2^5+I4*2^6+I3*2^7,2)</f>
        <v>30</v>
      </c>
      <c r="X3" t="str">
        <f>DEC2HEX(J6*2^0+J5*2^1+J4*2^2+J3*2^3+N6*2^4+N5*2^5+N4*2^6+N3*2^7,2)</f>
        <v>33</v>
      </c>
      <c r="Y3" t="str">
        <f>DEC2HEX(K6*2^0+K5*2^1+K4*2^2+K3*2^3+O6*2^4+O5*2^5+O4*2^6+O3*2^7,2)</f>
        <v>13</v>
      </c>
      <c r="Z3" t="str">
        <f>DEC2HEX(L6*2^0+L5*2^1+L4*2^2+L3*2^3+P6*2^4+P5*2^5+P4*2^6+P3*2^7,2)</f>
        <v>03</v>
      </c>
      <c r="AA3" t="str">
        <f>DEC2HEX(M6*2^0+M5*2^1+M4*2^2+M3*2^3+Q6*2^4+Q5*2^5+Q4*2^6+Q3*2^7,2)</f>
        <v>03</v>
      </c>
      <c r="AC3" t="s">
        <v>28</v>
      </c>
      <c r="AD3" t="s">
        <v>33</v>
      </c>
      <c r="AE3" t="s">
        <v>64</v>
      </c>
      <c r="AF3" t="s">
        <v>40</v>
      </c>
      <c r="AG3" t="s">
        <v>48</v>
      </c>
      <c r="AH3" t="s">
        <v>44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C0</v>
      </c>
      <c r="U4" t="str">
        <f>DEC2HEX(C10*2^0+C9*2^1+C8*2^2+C7*2^3+G10*2^4+G9*2^5+G8*2^6+G7*2^7,2)</f>
        <v>81</v>
      </c>
      <c r="V4" t="str">
        <f>DEC2HEX(D10*2^0+D9*2^1+D8*2^2+D7*2^3+H10*2^4+H9*2^5+H8*2^6+H7*2^7,2)</f>
        <v>07</v>
      </c>
      <c r="W4" t="str">
        <f>DEC2HEX(E10*2^0+E9*2^1+E8*2^2+E7*2^3+I10*2^4+I9*2^5+I8*2^6+I7*2^7,2)</f>
        <v>0F</v>
      </c>
      <c r="X4" t="str">
        <f>DEC2HEX(J10*2^0+J9*2^1+J8*2^2+J7*2^3+N10*2^4+N9*2^5+N8*2^6+N7*2^7,2)</f>
        <v>00</v>
      </c>
      <c r="Y4" t="str">
        <f>DEC2HEX(K10*2^0+K9*2^1+K8*2^2+K7*2^3+O10*2^4+O9*2^5+O8*2^6+O7*2^7,2)</f>
        <v>80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34</v>
      </c>
      <c r="AE4" t="s">
        <v>62</v>
      </c>
      <c r="AF4" t="s">
        <v>40</v>
      </c>
      <c r="AG4" t="s">
        <v>40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08</v>
      </c>
      <c r="X5" t="str">
        <f>DEC2HEX(J14*2^0+J13*2^1+J12*2^2+J11*2^3+N14*2^4+N13*2^5+N12*2^6+N11*2^7,2)</f>
        <v>30</v>
      </c>
      <c r="Y5" t="str">
        <f>DEC2HEX(K14*2^0+K13*2^1+K12*2^2+K11*2^3+O14*2^4+O13*2^5+O12*2^6+O11*2^7,2)</f>
        <v>33</v>
      </c>
      <c r="Z5" t="str">
        <f>DEC2HEX(L14*2^0+L13*2^1+L12*2^2+L11*2^3+P14*2^4+P13*2^5+P12*2^6+P11*2^7,2)</f>
        <v>33</v>
      </c>
      <c r="AA5" t="str">
        <f>DEC2HEX(M14*2^0+M13*2^1+M12*2^2+M11*2^3+Q14*2^4+Q13*2^5+Q12*2^6+Q11*2^7,2)</f>
        <v>03</v>
      </c>
      <c r="AC5" t="s">
        <v>2</v>
      </c>
      <c r="AD5" t="s">
        <v>34</v>
      </c>
      <c r="AE5" t="s">
        <v>40</v>
      </c>
      <c r="AF5" t="s">
        <v>41</v>
      </c>
      <c r="AG5" t="s">
        <v>62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1</v>
      </c>
      <c r="P6" s="10">
        <v>0</v>
      </c>
      <c r="Q6" s="10">
        <v>0</v>
      </c>
      <c r="T6" t="str">
        <f>DEC2HEX(B18*2^0+B17*2^1+B16*2^2+B15*2^3+F18*2^4+F17*2^5+F16*2^6+F15*2^7,2)</f>
        <v>10</v>
      </c>
      <c r="U6" t="str">
        <f>DEC2HEX(C18*2^0+C17*2^1+C16*2^2+C15*2^3+G18*2^4+G17*2^5+G16*2^6+G15*2^7,2)</f>
        <v>0C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07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F0</v>
      </c>
      <c r="Z6" t="str">
        <f>DEC2HEX(L18*2^0+L17*2^1+L16*2^2+L15*2^3+P18*2^4+P17*2^5+P16*2^6+P15*2^7,2)</f>
        <v>F0</v>
      </c>
      <c r="AA6" t="str">
        <f>DEC2HEX(M18*2^0+M17*2^1+M16*2^2+M15*2^3+Q18*2^4+Q17*2^5+Q16*2^6+Q15*2^7,2)</f>
        <v>00</v>
      </c>
      <c r="AC6" t="s">
        <v>30</v>
      </c>
      <c r="AD6" t="s">
        <v>60</v>
      </c>
      <c r="AE6" t="s">
        <v>37</v>
      </c>
      <c r="AF6" t="s">
        <v>34</v>
      </c>
      <c r="AG6" t="s">
        <v>37</v>
      </c>
      <c r="AH6" t="s">
        <v>52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1</v>
      </c>
      <c r="P7" s="10">
        <v>0</v>
      </c>
      <c r="Q7" s="10">
        <v>0</v>
      </c>
      <c r="T7" t="str">
        <f>DEC2HEX(B22*2^0+B21*2^1+B20*2^2+B19*2^3+F22*2^4+F21*2^5+F20*2^6+F19*2^7,2)</f>
        <v>C0</v>
      </c>
      <c r="U7" t="str">
        <f>DEC2HEX(C22*2^0+C21*2^1+C20*2^2+C19*2^3+G22*2^4+G21*2^5+G20*2^6+G19*2^7,2)</f>
        <v>C0</v>
      </c>
      <c r="V7" t="str">
        <f>DEC2HEX(D22*2^0+D21*2^1+D20*2^2+D19*2^3+H22*2^4+H21*2^5+H20*2^6+H19*2^7,2)</f>
        <v>60</v>
      </c>
      <c r="W7" t="str">
        <f>DEC2HEX(E22*2^0+E21*2^1+E20*2^2+E19*2^3+I22*2^4+I21*2^5+I20*2^6+I19*2^7,2)</f>
        <v>68</v>
      </c>
      <c r="X7" t="str">
        <f>DEC2HEX(J22*2^0+J21*2^1+J20*2^2+J19*2^3+N22*2^4+N21*2^5+N20*2^6+N19*2^7,2)</f>
        <v>66</v>
      </c>
      <c r="Y7" t="str">
        <f>DEC2HEX(K22*2^0+K21*2^1+K20*2^2+K19*2^3+O22*2^4+O21*2^5+O20*2^6+O19*2^7,2)</f>
        <v>E6</v>
      </c>
      <c r="Z7" t="str">
        <f>DEC2HEX(L22*2^0+L21*2^1+L20*2^2+L19*2^3+P22*2^4+P21*2^5+P20*2^6+P19*2^7,2)</f>
        <v>C6</v>
      </c>
      <c r="AA7" t="str">
        <f>DEC2HEX(M22*2^0+M21*2^1+M20*2^2+M19*2^3+Q22*2^4+Q21*2^5+Q20*2^6+Q19*2^7,2)</f>
        <v>06</v>
      </c>
      <c r="AC7" t="s">
        <v>31</v>
      </c>
      <c r="AD7" t="s">
        <v>79</v>
      </c>
      <c r="AE7" t="s">
        <v>39</v>
      </c>
      <c r="AF7" t="s">
        <v>60</v>
      </c>
      <c r="AG7" t="s">
        <v>43</v>
      </c>
      <c r="AH7" t="s">
        <v>82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35</v>
      </c>
      <c r="AE8" t="s">
        <v>37</v>
      </c>
      <c r="AF8" t="s">
        <v>60</v>
      </c>
      <c r="AG8" t="s">
        <v>43</v>
      </c>
      <c r="AH8" t="s">
        <v>83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37</v>
      </c>
      <c r="AF9" t="s">
        <v>35</v>
      </c>
      <c r="AG9" t="s">
        <v>37</v>
      </c>
      <c r="AH9" t="s">
        <v>47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1</v>
      </c>
      <c r="N13" s="10">
        <v>1</v>
      </c>
      <c r="O13" s="10">
        <v>1</v>
      </c>
      <c r="P13" s="10">
        <v>1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G_D2[6]={0x10,0xC0,0x00,0x10,0xC0,0x00};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1</v>
      </c>
      <c r="N14" s="10">
        <v>1</v>
      </c>
      <c r="O14" s="10">
        <v>1</v>
      </c>
      <c r="P14" s="10">
        <v>1</v>
      </c>
      <c r="Q14" s="10">
        <v>0</v>
      </c>
      <c r="T14" t="str">
        <f t="shared" ref="T14:AA19" si="1">_xlfn.CONCAT("0x",T3)</f>
        <v>0x10</v>
      </c>
      <c r="U14" t="str">
        <f t="shared" si="1"/>
        <v>0x10</v>
      </c>
      <c r="V14" t="str">
        <f t="shared" si="1"/>
        <v>0x30</v>
      </c>
      <c r="W14" t="str">
        <f t="shared" si="1"/>
        <v>0x30</v>
      </c>
      <c r="X14" t="str">
        <f t="shared" si="1"/>
        <v>0x33</v>
      </c>
      <c r="Y14" t="str">
        <f t="shared" si="1"/>
        <v>0x13</v>
      </c>
      <c r="Z14" t="str">
        <f t="shared" si="1"/>
        <v>0x03</v>
      </c>
      <c r="AA14" t="str">
        <f t="shared" si="1"/>
        <v>0x03</v>
      </c>
      <c r="AC14" t="str">
        <f t="shared" si="0"/>
        <v>const uint8_t G_C2[6]={0x10,0x81,0x0F,0x0C,0xC0,0x00};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1</v>
      </c>
      <c r="P15" s="10">
        <v>1</v>
      </c>
      <c r="Q15" s="10">
        <v>0</v>
      </c>
      <c r="T15" t="str">
        <f t="shared" si="1"/>
        <v>0xC0</v>
      </c>
      <c r="U15" t="str">
        <f t="shared" si="1"/>
        <v>0x81</v>
      </c>
      <c r="V15" t="str">
        <f t="shared" si="1"/>
        <v>0x07</v>
      </c>
      <c r="W15" t="str">
        <f t="shared" si="1"/>
        <v>0x0F</v>
      </c>
      <c r="X15" t="str">
        <f t="shared" si="1"/>
        <v>0x00</v>
      </c>
      <c r="Y15" t="str">
        <f t="shared" si="1"/>
        <v>0x80</v>
      </c>
      <c r="Z15" t="str">
        <f t="shared" si="1"/>
        <v>0x00</v>
      </c>
      <c r="AA15" t="str">
        <f t="shared" si="1"/>
        <v>0x00</v>
      </c>
      <c r="AC15" t="str">
        <f t="shared" si="0"/>
        <v>const uint8_t G_B2[6]={0x30,0x07,0x0F,0x0F,0x60,0x00};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1</v>
      </c>
      <c r="P16" s="10">
        <v>1</v>
      </c>
      <c r="Q16" s="10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0x08</v>
      </c>
      <c r="X16" t="str">
        <f t="shared" si="1"/>
        <v>0x30</v>
      </c>
      <c r="Y16" t="str">
        <f t="shared" si="1"/>
        <v>0x33</v>
      </c>
      <c r="Z16" t="str">
        <f t="shared" si="1"/>
        <v>0x33</v>
      </c>
      <c r="AA16" t="str">
        <f t="shared" si="1"/>
        <v>0x03</v>
      </c>
      <c r="AC16" t="str">
        <f t="shared" si="0"/>
        <v>const uint8_t G_A2[6]={0x30,0x0F,0x08,0x07,0x68,0x00};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1</v>
      </c>
      <c r="P17" s="10">
        <v>1</v>
      </c>
      <c r="Q17" s="10">
        <v>0</v>
      </c>
      <c r="T17" t="str">
        <f t="shared" si="1"/>
        <v>0x10</v>
      </c>
      <c r="U17" t="str">
        <f t="shared" si="1"/>
        <v>0x0C</v>
      </c>
      <c r="V17" t="str">
        <f t="shared" si="1"/>
        <v>0x0F</v>
      </c>
      <c r="W17" t="str">
        <f t="shared" si="1"/>
        <v>0x07</v>
      </c>
      <c r="X17" t="str">
        <f t="shared" si="1"/>
        <v>0x00</v>
      </c>
      <c r="Y17" t="str">
        <f t="shared" si="1"/>
        <v>0xF0</v>
      </c>
      <c r="Z17" t="str">
        <f t="shared" si="1"/>
        <v>0xF0</v>
      </c>
      <c r="AA17" t="str">
        <f t="shared" si="1"/>
        <v>0x00</v>
      </c>
      <c r="AC17" t="str">
        <f t="shared" si="0"/>
        <v>const uint8_t G_D1[6]={0x33,0x00,0x30,0x00,0x66,0x00};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1</v>
      </c>
      <c r="P18" s="10">
        <v>1</v>
      </c>
      <c r="Q18" s="10">
        <v>0</v>
      </c>
      <c r="T18" t="str">
        <f t="shared" si="1"/>
        <v>0xC0</v>
      </c>
      <c r="U18" t="str">
        <f t="shared" si="1"/>
        <v>0xC0</v>
      </c>
      <c r="V18" t="str">
        <f t="shared" si="1"/>
        <v>0x60</v>
      </c>
      <c r="W18" t="str">
        <f t="shared" si="1"/>
        <v>0x68</v>
      </c>
      <c r="X18" t="str">
        <f t="shared" si="1"/>
        <v>0x66</v>
      </c>
      <c r="Y18" t="str">
        <f t="shared" si="1"/>
        <v>0xE6</v>
      </c>
      <c r="Z18" t="str">
        <f t="shared" si="1"/>
        <v>0xC6</v>
      </c>
      <c r="AA18" t="str">
        <f t="shared" si="1"/>
        <v>0x06</v>
      </c>
      <c r="AC18" t="str">
        <f t="shared" si="0"/>
        <v>const uint8_t G_C1[6]={0x13,0x80,0x33,0xF0,0xE6,0x00};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1</v>
      </c>
      <c r="P19" s="10">
        <v>1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G_B1[6]={0x03,0x00,0x33,0xF0,0xC6,0x00};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1</v>
      </c>
      <c r="O20" s="10">
        <v>1</v>
      </c>
      <c r="P20" s="10">
        <v>1</v>
      </c>
      <c r="Q20" s="10">
        <v>0</v>
      </c>
      <c r="AC20" t="str">
        <f t="shared" si="0"/>
        <v>const uint8_t G_A1[6]={0x03,0x00,0x03,0x00,0x06,0x00};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1</v>
      </c>
      <c r="N21" s="10">
        <v>1</v>
      </c>
      <c r="O21" s="10">
        <v>1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40" priority="1" operator="equal">
      <formula>2</formula>
    </cfRule>
    <cfRule type="cellIs" dxfId="139" priority="2" operator="equal">
      <formula>1</formula>
    </cfRule>
    <cfRule type="cellIs" dxfId="138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B8506-4556-4979-A83C-EE0F35C558F8}">
  <sheetPr codeName="Planilha23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45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00</v>
      </c>
      <c r="X3" t="str">
        <f>DEC2HEX(J6*2^0+J5*2^1+J4*2^2+J3*2^3+N6*2^4+N5*2^5+N4*2^6+N3*2^7,2)</f>
        <v>30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03</v>
      </c>
      <c r="AC3" t="s">
        <v>28</v>
      </c>
      <c r="AD3" t="s">
        <v>35</v>
      </c>
      <c r="AE3" t="s">
        <v>40</v>
      </c>
      <c r="AF3" t="s">
        <v>78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F0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0F</v>
      </c>
      <c r="AC4" t="s">
        <v>29</v>
      </c>
      <c r="AD4" t="s">
        <v>35</v>
      </c>
      <c r="AE4" t="s">
        <v>40</v>
      </c>
      <c r="AF4" t="s">
        <v>78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60</v>
      </c>
      <c r="U5" t="str">
        <f>DEC2HEX(C14*2^0+C13*2^1+C12*2^2+C11*2^3+G14*2^4+G13*2^5+G12*2^6+G11*2^7,2)</f>
        <v>6F</v>
      </c>
      <c r="V5" t="str">
        <f>DEC2HEX(D14*2^0+D13*2^1+D12*2^2+D11*2^3+H14*2^4+H13*2^5+H12*2^6+H11*2^7,2)</f>
        <v>6F</v>
      </c>
      <c r="W5" t="str">
        <f>DEC2HEX(E14*2^0+E13*2^1+E12*2^2+E11*2^3+I14*2^4+I13*2^5+I12*2^6+I11*2^7,2)</f>
        <v>66</v>
      </c>
      <c r="X5" t="str">
        <f>DEC2HEX(J14*2^0+J13*2^1+J12*2^2+J11*2^3+N14*2^4+N13*2^5+N12*2^6+N11*2^7,2)</f>
        <v>F6</v>
      </c>
      <c r="Y5" t="str">
        <f>DEC2HEX(K14*2^0+K13*2^1+K12*2^2+K11*2^3+O14*2^4+O13*2^5+O12*2^6+O11*2^7,2)</f>
        <v>06</v>
      </c>
      <c r="Z5" t="str">
        <f>DEC2HEX(L14*2^0+L13*2^1+L12*2^2+L11*2^3+P14*2^4+P13*2^5+P12*2^6+P11*2^7,2)</f>
        <v>06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37</v>
      </c>
      <c r="AF5" t="s">
        <v>52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F0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0F</v>
      </c>
      <c r="AC6" t="s">
        <v>30</v>
      </c>
      <c r="AD6" t="s">
        <v>34</v>
      </c>
      <c r="AE6" t="s">
        <v>43</v>
      </c>
      <c r="AF6" t="s">
        <v>50</v>
      </c>
      <c r="AG6" t="s">
        <v>43</v>
      </c>
      <c r="AH6" t="s">
        <v>38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1</v>
      </c>
      <c r="N7" s="10">
        <v>1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E0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0E</v>
      </c>
      <c r="AC7" t="s">
        <v>31</v>
      </c>
      <c r="AD7" t="s">
        <v>37</v>
      </c>
      <c r="AE7" t="s">
        <v>37</v>
      </c>
      <c r="AF7" t="s">
        <v>47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1</v>
      </c>
      <c r="N8" s="10">
        <v>1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40</v>
      </c>
      <c r="AF9" t="s">
        <v>40</v>
      </c>
      <c r="AG9" t="s">
        <v>40</v>
      </c>
      <c r="AH9" t="s">
        <v>42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1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1</v>
      </c>
      <c r="G12" s="10">
        <v>1</v>
      </c>
      <c r="H12" s="10">
        <v>1</v>
      </c>
      <c r="I12" s="10">
        <v>1</v>
      </c>
      <c r="J12" s="10">
        <v>1</v>
      </c>
      <c r="K12" s="10">
        <v>1</v>
      </c>
      <c r="L12" s="10">
        <v>1</v>
      </c>
      <c r="M12" s="10">
        <v>1</v>
      </c>
      <c r="N12" s="10">
        <v>1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1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H_D2[6]={0x00,0x00,0x60,0x00,0x00,0x00};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0x03</v>
      </c>
      <c r="V14" t="str">
        <f t="shared" si="1"/>
        <v>0x03</v>
      </c>
      <c r="W14" t="str">
        <f t="shared" si="1"/>
        <v>0x00</v>
      </c>
      <c r="X14" t="str">
        <f t="shared" si="1"/>
        <v>0x30</v>
      </c>
      <c r="Y14" t="str">
        <f t="shared" si="1"/>
        <v>0x00</v>
      </c>
      <c r="Z14" t="str">
        <f t="shared" si="1"/>
        <v>0x00</v>
      </c>
      <c r="AA14" t="str">
        <f t="shared" si="1"/>
        <v>0x03</v>
      </c>
      <c r="AC14" t="str">
        <f t="shared" si="0"/>
        <v>const uint8_t H_C2[6]={0x03,0x0F,0x6F,0x0F,0x0E,0x00};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0xF0</v>
      </c>
      <c r="Y15" t="str">
        <f t="shared" si="1"/>
        <v>0x00</v>
      </c>
      <c r="Z15" t="str">
        <f t="shared" si="1"/>
        <v>0x00</v>
      </c>
      <c r="AA15" t="str">
        <f t="shared" si="1"/>
        <v>0x0F</v>
      </c>
      <c r="AC15" t="str">
        <f t="shared" si="0"/>
        <v>const uint8_t H_B2[6]={0x03,0x0F,0x6F,0x0F,0x0E,0x00};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T16" t="str">
        <f t="shared" si="1"/>
        <v>0x60</v>
      </c>
      <c r="U16" t="str">
        <f t="shared" si="1"/>
        <v>0x6F</v>
      </c>
      <c r="V16" t="str">
        <f t="shared" si="1"/>
        <v>0x6F</v>
      </c>
      <c r="W16" t="str">
        <f t="shared" si="1"/>
        <v>0x66</v>
      </c>
      <c r="X16" t="str">
        <f t="shared" si="1"/>
        <v>0xF6</v>
      </c>
      <c r="Y16" t="str">
        <f t="shared" si="1"/>
        <v>0x06</v>
      </c>
      <c r="Z16" t="str">
        <f t="shared" si="1"/>
        <v>0x06</v>
      </c>
      <c r="AA16" t="str">
        <f t="shared" si="1"/>
        <v>0x0F</v>
      </c>
      <c r="AC16" t="str">
        <f t="shared" si="0"/>
        <v>const uint8_t H_A2[6]={0x00,0x00,0x66,0x00,0x00,0x00};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0xF0</v>
      </c>
      <c r="Y17" t="str">
        <f t="shared" si="1"/>
        <v>0x00</v>
      </c>
      <c r="Z17" t="str">
        <f t="shared" si="1"/>
        <v>0x00</v>
      </c>
      <c r="AA17" t="str">
        <f t="shared" si="1"/>
        <v>0x0F</v>
      </c>
      <c r="AC17" t="str">
        <f t="shared" si="0"/>
        <v>const uint8_t H_D1[6]={0x30,0xF0,0xF6,0xF0,0xE0,0x00};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1</v>
      </c>
      <c r="N18" s="10">
        <v>1</v>
      </c>
      <c r="O18" s="10">
        <v>0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0xE0</v>
      </c>
      <c r="Y18" t="str">
        <f t="shared" si="1"/>
        <v>0x00</v>
      </c>
      <c r="Z18" t="str">
        <f t="shared" si="1"/>
        <v>0x00</v>
      </c>
      <c r="AA18" t="str">
        <f t="shared" si="1"/>
        <v>0x0E</v>
      </c>
      <c r="AC18" t="str">
        <f t="shared" si="0"/>
        <v>const uint8_t H_C1[6]={0x00,0x00,0x06,0x00,0x00,0x00};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1</v>
      </c>
      <c r="N19" s="10">
        <v>1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H_B1[6]={0x00,0x00,0x06,0x00,0x00,0x00};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1</v>
      </c>
      <c r="N20" s="10">
        <v>1</v>
      </c>
      <c r="O20" s="10">
        <v>0</v>
      </c>
      <c r="P20" s="10">
        <v>0</v>
      </c>
      <c r="Q20" s="10">
        <v>0</v>
      </c>
      <c r="AC20" t="str">
        <f t="shared" si="0"/>
        <v>const uint8_t H_A1[6]={0x03,0x0F,0x0F,0x0F,0x0E,0x00};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1</v>
      </c>
      <c r="N21" s="10">
        <v>1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37" priority="1" operator="equal">
      <formula>2</formula>
    </cfRule>
    <cfRule type="cellIs" dxfId="136" priority="2" operator="equal">
      <formula>1</formula>
    </cfRule>
    <cfRule type="cellIs" dxfId="135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795CA-17A3-4607-A7A7-F26E16471957}">
  <sheetPr codeName="Planilha24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43</v>
      </c>
      <c r="AF2" t="s">
        <v>43</v>
      </c>
      <c r="AG2" t="s">
        <v>43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32</v>
      </c>
      <c r="V3" t="str">
        <f>DEC2HEX(D6*2^0+D5*2^1+D4*2^2+D3*2^3+H6*2^4+H5*2^5+H4*2^6+H3*2^7,2)</f>
        <v>23</v>
      </c>
      <c r="W3" t="str">
        <f>DEC2HEX(E6*2^0+E5*2^1+E4*2^2+E3*2^3+I6*2^4+I5*2^5+I4*2^6+I3*2^7,2)</f>
        <v>03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84</v>
      </c>
      <c r="AE3" t="s">
        <v>37</v>
      </c>
      <c r="AF3" t="s">
        <v>37</v>
      </c>
      <c r="AG3" t="s">
        <v>37</v>
      </c>
      <c r="AH3" t="s">
        <v>85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F0</v>
      </c>
      <c r="U4" t="str">
        <f>DEC2HEX(C10*2^0+C9*2^1+C8*2^2+C7*2^3+G10*2^4+G9*2^5+G8*2^6+G7*2^7,2)</f>
        <v>00</v>
      </c>
      <c r="V4" t="str">
        <f>DEC2HEX(D10*2^0+D9*2^1+D8*2^2+D7*2^3+H10*2^4+H9*2^5+H8*2^6+H7*2^7,2)</f>
        <v>00</v>
      </c>
      <c r="W4" t="str">
        <f>DEC2HEX(E10*2^0+E9*2^1+E8*2^2+E7*2^3+I10*2^4+I9*2^5+I8*2^6+I7*2^7,2)</f>
        <v>0F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86</v>
      </c>
      <c r="AE4" t="s">
        <v>37</v>
      </c>
      <c r="AF4" t="s">
        <v>37</v>
      </c>
      <c r="AG4" t="s">
        <v>37</v>
      </c>
      <c r="AH4" t="s">
        <v>87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F0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35</v>
      </c>
      <c r="AE5" t="s">
        <v>40</v>
      </c>
      <c r="AF5" t="s">
        <v>40</v>
      </c>
      <c r="AG5" t="s">
        <v>40</v>
      </c>
      <c r="AH5" t="s">
        <v>42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0F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62</v>
      </c>
      <c r="V7" t="str">
        <f>DEC2HEX(D22*2^0+D21*2^1+D20*2^2+D19*2^3+H22*2^4+H21*2^5+H20*2^6+H19*2^7,2)</f>
        <v>26</v>
      </c>
      <c r="W7" t="str">
        <f>DEC2HEX(E22*2^0+E21*2^1+E20*2^2+E19*2^3+I22*2^4+I21*2^5+I20*2^6+I19*2^7,2)</f>
        <v>0E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1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I_D2[6]={0x30,0xF0,0xF0,0xF0,0xE0,0x00};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0x30</v>
      </c>
      <c r="U14" t="str">
        <f t="shared" si="1"/>
        <v>0x32</v>
      </c>
      <c r="V14" t="str">
        <f t="shared" si="1"/>
        <v>0x23</v>
      </c>
      <c r="W14" t="str">
        <f t="shared" si="1"/>
        <v>0x03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I_C2[6]={0x32,0x00,0x00,0x00,0x62,0x00};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0xF0</v>
      </c>
      <c r="U15" t="str">
        <f t="shared" si="1"/>
        <v>0x00</v>
      </c>
      <c r="V15" t="str">
        <f t="shared" si="1"/>
        <v>0x00</v>
      </c>
      <c r="W15" t="str">
        <f t="shared" si="1"/>
        <v>0x0F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I_B2[6]={0x23,0x00,0x00,0x00,0x26,0x00};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0xF0</v>
      </c>
      <c r="U16" t="str">
        <f t="shared" si="1"/>
        <v>0x00</v>
      </c>
      <c r="V16" t="str">
        <f t="shared" si="1"/>
        <v>0x00</v>
      </c>
      <c r="W16" t="str">
        <f t="shared" si="1"/>
        <v>0x0F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I_A2[6]={0x03,0x0F,0x0F,0x0F,0x0E,0x00};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0xF0</v>
      </c>
      <c r="U17" t="str">
        <f t="shared" si="1"/>
        <v>0x00</v>
      </c>
      <c r="V17" t="str">
        <f t="shared" si="1"/>
        <v>0x00</v>
      </c>
      <c r="W17" t="str">
        <f t="shared" si="1"/>
        <v>0x0F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I_D1[6]={0x00,0x00,0x00,0x00,0x00,0x00};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0xE0</v>
      </c>
      <c r="U18" t="str">
        <f t="shared" si="1"/>
        <v>0x62</v>
      </c>
      <c r="V18" t="str">
        <f t="shared" si="1"/>
        <v>0x26</v>
      </c>
      <c r="W18" t="str">
        <f t="shared" si="1"/>
        <v>0x0E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I_C1[6]={0x00,0x00,0x00,0x00,0x00,0x00};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I_B1[6]={0x00,0x00,0x00,0x00,0x00,0x00};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I_A1[6]={0x00,0x00,0x00,0x00,0x00,0x00};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34" priority="1" operator="equal">
      <formula>2</formula>
    </cfRule>
    <cfRule type="cellIs" dxfId="133" priority="2" operator="equal">
      <formula>1</formula>
    </cfRule>
    <cfRule type="cellIs" dxfId="132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E8B1-8F29-4219-BA9B-4B63198025C5}">
  <sheetPr codeName="Planilha25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43</v>
      </c>
      <c r="AF2" t="s">
        <v>43</v>
      </c>
      <c r="AG2" t="s">
        <v>43</v>
      </c>
      <c r="AH2" t="s">
        <v>43</v>
      </c>
      <c r="AI2" t="s">
        <v>44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03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37</v>
      </c>
      <c r="AF3" t="s">
        <v>37</v>
      </c>
      <c r="AG3" t="s">
        <v>37</v>
      </c>
      <c r="AH3" t="s">
        <v>37</v>
      </c>
      <c r="AI3" t="s">
        <v>35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F0</v>
      </c>
      <c r="U4" t="str">
        <f>DEC2HEX(C10*2^0+C9*2^1+C8*2^2+C7*2^3+G10*2^4+G9*2^5+G8*2^6+G7*2^7,2)</f>
        <v>00</v>
      </c>
      <c r="V4" t="str">
        <f>DEC2HEX(D10*2^0+D9*2^1+D8*2^2+D7*2^3+H10*2^4+H9*2^5+H8*2^6+H7*2^7,2)</f>
        <v>00</v>
      </c>
      <c r="W4" t="str">
        <f>DEC2HEX(E10*2^0+E9*2^1+E8*2^2+E7*2^3+I10*2^4+I9*2^5+I8*2^6+I7*2^7,2)</f>
        <v>0F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37</v>
      </c>
      <c r="AF4" t="s">
        <v>37</v>
      </c>
      <c r="AG4" t="s">
        <v>37</v>
      </c>
      <c r="AH4" t="s">
        <v>37</v>
      </c>
      <c r="AI4" t="s">
        <v>62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1</v>
      </c>
      <c r="F5" s="10">
        <v>1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F0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35</v>
      </c>
      <c r="AE5" t="s">
        <v>40</v>
      </c>
      <c r="AF5" t="s">
        <v>40</v>
      </c>
      <c r="AG5" t="s">
        <v>40</v>
      </c>
      <c r="AH5" t="s">
        <v>40</v>
      </c>
      <c r="AI5" t="s">
        <v>42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0F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F0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00</v>
      </c>
      <c r="W7" t="str">
        <f>DEC2HEX(E22*2^0+E21*2^1+E20*2^2+E19*2^3+I22*2^4+I21*2^5+I20*2^6+I19*2^7,2)</f>
        <v>0F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C0</v>
      </c>
      <c r="U8" t="str">
        <f>DEC2HEX(C26*2^0+C25*2^1+C24*2^2+C23*2^3+G26*2^4+G25*2^5+G24*2^6+G23*2^7,2)</f>
        <v>03</v>
      </c>
      <c r="V8" t="str">
        <f>DEC2HEX(D26*2^0+D25*2^1+D24*2^2+D23*2^3+H26*2^4+H25*2^5+H24*2^6+H23*2^7,2)</f>
        <v>07</v>
      </c>
      <c r="W8" t="str">
        <f>DEC2HEX(E26*2^0+E25*2^1+E24*2^2+E23*2^3+I26*2^4+I25*2^5+I24*2^6+I23*2^7,2)</f>
        <v>0E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1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J_D2[6]={0x30,0xF0,0xF0,0xF0,0xF0,0xC0};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0x30</v>
      </c>
      <c r="U14" t="str">
        <f t="shared" si="1"/>
        <v>0x00</v>
      </c>
      <c r="V14" t="str">
        <f t="shared" si="1"/>
        <v>0x00</v>
      </c>
      <c r="W14" t="str">
        <f t="shared" si="1"/>
        <v>0x03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J_C2[6]={0x00,0x00,0x00,0x00,0x00,0x03};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0xF0</v>
      </c>
      <c r="U15" t="str">
        <f t="shared" si="1"/>
        <v>0x00</v>
      </c>
      <c r="V15" t="str">
        <f t="shared" si="1"/>
        <v>0x00</v>
      </c>
      <c r="W15" t="str">
        <f t="shared" si="1"/>
        <v>0x0F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J_B2[6]={0x00,0x00,0x00,0x00,0x00,0x07};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0xF0</v>
      </c>
      <c r="U16" t="str">
        <f t="shared" si="1"/>
        <v>0x00</v>
      </c>
      <c r="V16" t="str">
        <f t="shared" si="1"/>
        <v>0x00</v>
      </c>
      <c r="W16" t="str">
        <f t="shared" si="1"/>
        <v>0x0F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J_A2[6]={0x03,0x0F,0x0F,0x0F,0x0F,0x0E};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0xF0</v>
      </c>
      <c r="U17" t="str">
        <f t="shared" si="1"/>
        <v>0x00</v>
      </c>
      <c r="V17" t="str">
        <f t="shared" si="1"/>
        <v>0x00</v>
      </c>
      <c r="W17" t="str">
        <f t="shared" si="1"/>
        <v>0x0F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J_D1[6]={0x00,0x00,0x00,0x00,0x00,0x00};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0xF0</v>
      </c>
      <c r="U18" t="str">
        <f t="shared" si="1"/>
        <v>0x00</v>
      </c>
      <c r="V18" t="str">
        <f t="shared" si="1"/>
        <v>0x00</v>
      </c>
      <c r="W18" t="str">
        <f t="shared" si="1"/>
        <v>0x0F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J_C1[6]={0x00,0x00,0x00,0x00,0x00,0x00};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0xC0</v>
      </c>
      <c r="U19" t="str">
        <f t="shared" si="1"/>
        <v>0x03</v>
      </c>
      <c r="V19" t="str">
        <f t="shared" si="1"/>
        <v>0x07</v>
      </c>
      <c r="W19" t="str">
        <f t="shared" si="1"/>
        <v>0x0E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J_B1[6]={0x00,0x00,0x00,0x00,0x00,0x00};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J_A1[6]={0x00,0x00,0x00,0x00,0x00,0x00};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1</v>
      </c>
      <c r="F22" s="10">
        <v>1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1</v>
      </c>
      <c r="F23" s="10">
        <v>1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1</v>
      </c>
      <c r="E24" s="10">
        <v>1</v>
      </c>
      <c r="F24" s="10">
        <v>1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1</v>
      </c>
      <c r="D25" s="10">
        <v>1</v>
      </c>
      <c r="E25" s="10">
        <v>1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1</v>
      </c>
      <c r="D26" s="10">
        <v>1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31" priority="1" operator="equal">
      <formula>2</formula>
    </cfRule>
    <cfRule type="cellIs" dxfId="130" priority="2" operator="equal">
      <formula>1</formula>
    </cfRule>
    <cfRule type="cellIs" dxfId="129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59FF5B-42E7-4490-A17D-14F2C04556DA}">
  <sheetPr codeName="Planilha2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45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03</v>
      </c>
      <c r="V3" s="28" t="str">
        <f>DEC2HEX(D6*2^0+D5*2^1+D4*2^2+D3*2^3+H6*2^4+H5*2^5+H4*2^6+H3*2^7,2)</f>
        <v>03</v>
      </c>
      <c r="W3" s="28" t="str">
        <f>DEC2HEX(E6*2^0+E5*2^1+E4*2^2+E3*2^3+I6*2^4+I5*2^5+I4*2^6+I3*2^7,2)</f>
        <v>00</v>
      </c>
      <c r="X3" s="28" t="str">
        <f>DEC2HEX(J6*2^0+J5*2^1+J4*2^2+J3*2^3+N6*2^4+N5*2^5+N4*2^6+N3*2^7,2)</f>
        <v>20</v>
      </c>
      <c r="Y3" s="28" t="str">
        <f t="shared" ref="Y3" si="0">DEC2HEX(K6*2^0+K5*2^1+K4*2^2+K3*2^3+O6*2^4+O5*2^5+O4*2^6+O3*2^7,2)</f>
        <v>01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03</v>
      </c>
      <c r="AC3" t="s">
        <v>28</v>
      </c>
      <c r="AD3" t="s">
        <v>35</v>
      </c>
      <c r="AE3" t="s">
        <v>43</v>
      </c>
      <c r="AF3" t="s">
        <v>75</v>
      </c>
      <c r="AG3" t="s">
        <v>43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F0</v>
      </c>
      <c r="V4" s="28" t="str">
        <f>DEC2HEX(D10*2^4+D9*2^5+D8*2^6+D7*2^7+H10*2^0+H9*2^1+H8*2^2+H7*2^3,2)</f>
        <v>F1</v>
      </c>
      <c r="W4" s="28" t="str">
        <f>DEC2HEX(E10*2^4+E9*2^5+E8*2^6+E7*2^7+I10*2^0+I9*2^1+I8*2^2+I7*2^3,2)</f>
        <v>03</v>
      </c>
      <c r="X4" s="28" t="str">
        <f>DEC2HEX(J10*2^4+J9*2^5+J8*2^6+J7*2^7+N10*2^0+N9*2^1+N8*2^2+N7*2^3,2)</f>
        <v>60</v>
      </c>
      <c r="Y4" s="28" t="str">
        <f>DEC2HEX(K10*2^4+K9*2^5+K8*2^6+K7*2^7+O10*2^0+O9*2^1+O8*2^2+O7*2^3,2)</f>
        <v>C0</v>
      </c>
      <c r="Z4" s="28" t="str">
        <f>DEC2HEX(L10*2^4+L9*2^5+L8*2^6+L7*2^7+P10*2^0+P9*2^1+P8*2^2+P7*2^3,2)</f>
        <v>80</v>
      </c>
      <c r="AA4" s="28" t="str">
        <f>DEC2HEX(M10*2^4+M9*2^5+M8*2^6+M7*2^7+Q10*2^0+Q9*2^1+Q8*2^2+Q7*2^3,2)</f>
        <v>00</v>
      </c>
      <c r="AC4" t="s">
        <v>29</v>
      </c>
      <c r="AD4" t="s">
        <v>35</v>
      </c>
      <c r="AE4" t="s">
        <v>69</v>
      </c>
      <c r="AF4" t="s">
        <v>75</v>
      </c>
      <c r="AG4" t="s">
        <v>155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1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60</v>
      </c>
      <c r="U5" s="28" t="str">
        <f t="shared" si="1"/>
        <v>FF</v>
      </c>
      <c r="V5" s="28" t="str">
        <f>DEC2HEX(D14*2^0+D13*2^1+D12*2^2+D11*2^3+H14*2^4+H13*2^5+H12*2^6+H11*2^7,2)</f>
        <v>FF</v>
      </c>
      <c r="W5" s="28" t="str">
        <f t="shared" ref="W5" si="2">DEC2HEX(E14*2^0+E13*2^1+E12*2^2+E11*2^3+I14*2^4+I13*2^5+I12*2^6+I11*2^7,2)</f>
        <v>13</v>
      </c>
      <c r="X5" s="28" t="str">
        <f t="shared" ref="X5:Y5" si="3">DEC2HEX(J14*2^0+J13*2^1+J12*2^2+J11*2^3+N14*2^4+N13*2^5+N12*2^6+N11*2^7,2)</f>
        <v>00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37</v>
      </c>
      <c r="AE5" t="s">
        <v>35</v>
      </c>
      <c r="AF5" t="s">
        <v>79</v>
      </c>
      <c r="AG5" t="s">
        <v>48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1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F0</v>
      </c>
      <c r="V6" s="28" t="str">
        <f>DEC2HEX(D18*2^4+D17*2^5+D16*2^6+D15*2^7+H18*2^0+H17*2^1+H16*2^2+H15*2^3,2)</f>
        <v>F8</v>
      </c>
      <c r="W6" s="28" t="str">
        <f t="shared" ref="W6" si="5">DEC2HEX(E18*2^4+E17*2^5+E16*2^6+E15*2^7+I18*2^0+I17*2^1+I16*2^2+I15*2^3,2)</f>
        <v>0C</v>
      </c>
      <c r="X6" s="28" t="str">
        <f t="shared" ref="X6:Y6" si="6">DEC2HEX(J18*2^4+J17*2^5+J16*2^6+J15*2^7+N18*2^0+N17*2^1+N16*2^2+N15*2^3,2)</f>
        <v>F0</v>
      </c>
      <c r="Y6" s="28" t="str">
        <f t="shared" si="6"/>
        <v>30</v>
      </c>
      <c r="Z6" s="28" t="str">
        <f>DEC2HEX(L18*2^4+L17*2^5+L16*2^6+L15*2^7+P18*2^0+P17*2^1+P16*2^2+P15*2^3,2)</f>
        <v>10</v>
      </c>
      <c r="AA6" s="28" t="str">
        <f>DEC2HEX(M18*2^4+M17*2^5+M16*2^6+M15*2^7+Q18*2^0+Q17*2^1+Q16*2^2+Q15*2^3,2)</f>
        <v>00</v>
      </c>
      <c r="AC6" t="s">
        <v>30</v>
      </c>
      <c r="AD6" t="s">
        <v>88</v>
      </c>
      <c r="AE6" t="s">
        <v>45</v>
      </c>
      <c r="AF6" t="s">
        <v>37</v>
      </c>
      <c r="AG6" t="s">
        <v>43</v>
      </c>
      <c r="AH6" t="s">
        <v>88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00</v>
      </c>
      <c r="U7" s="28" t="str">
        <f t="shared" si="7"/>
        <v>0E</v>
      </c>
      <c r="V7" s="28" t="str">
        <f>DEC2HEX(D22*2^0+D21*2^1+D20*2^2+D19*2^3+H22*2^4+H21*2^5+H20*2^6+H19*2^7,2)</f>
        <v>0E</v>
      </c>
      <c r="W7" s="28" t="str">
        <f t="shared" ref="W7" si="8">DEC2HEX(E22*2^0+E21*2^1+E20*2^2+E19*2^3+I22*2^4+I21*2^5+I20*2^6+I19*2^7,2)</f>
        <v>00</v>
      </c>
      <c r="X7" s="28" t="str">
        <f t="shared" ref="X7:Y7" si="9">DEC2HEX(J22*2^0+J21*2^1+J20*2^2+J19*2^3+N22*2^4+N21*2^5+N20*2^6+N19*2^7,2)</f>
        <v>20</v>
      </c>
      <c r="Y7" s="28" t="str">
        <f t="shared" si="9"/>
        <v>08</v>
      </c>
      <c r="Z7" s="28" t="str">
        <f>DEC2HEX(L22*2^0+L21*2^1+L20*2^2+L19*2^3+P22*2^4+P21*2^5+P20*2^6+P19*2^7,2)</f>
        <v>0E</v>
      </c>
      <c r="AA7" s="28" t="str">
        <f>DEC2HEX(M22*2^0+M21*2^1+M20*2^2+M19*2^3+Q22*2^4+Q21*2^5+Q20*2^6+Q19*2^7,2)</f>
        <v>06</v>
      </c>
      <c r="AC7" t="s">
        <v>31</v>
      </c>
      <c r="AD7" t="s">
        <v>36</v>
      </c>
      <c r="AE7" t="s">
        <v>44</v>
      </c>
      <c r="AF7" t="s">
        <v>37</v>
      </c>
      <c r="AG7" t="s">
        <v>34</v>
      </c>
      <c r="AH7" t="s">
        <v>41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1</v>
      </c>
      <c r="K8" s="10">
        <v>1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39</v>
      </c>
      <c r="AF8" t="s">
        <v>37</v>
      </c>
      <c r="AG8" t="s">
        <v>33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37</v>
      </c>
      <c r="AF9" t="s">
        <v>37</v>
      </c>
      <c r="AG9" t="s">
        <v>37</v>
      </c>
      <c r="AH9" t="s">
        <v>47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1</v>
      </c>
      <c r="I10" s="10">
        <v>1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1</v>
      </c>
      <c r="H11" s="10">
        <v>1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1</v>
      </c>
      <c r="G12" s="10">
        <v>1</v>
      </c>
      <c r="H12" s="10">
        <v>1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D2_K[8]={0x00,0x00,0x00,0x00,0x60,0x00,0x00,0x00};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0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3">_xlfn.CONCAT("0x",T3)</f>
        <v>0x00</v>
      </c>
      <c r="U14" t="str">
        <f t="shared" si="13"/>
        <v>0x03</v>
      </c>
      <c r="V14" t="str">
        <f t="shared" si="13"/>
        <v>0x03</v>
      </c>
      <c r="W14" t="str">
        <f t="shared" si="13"/>
        <v>0x00</v>
      </c>
      <c r="X14" t="str">
        <f t="shared" si="13"/>
        <v>0x20</v>
      </c>
      <c r="Y14" t="str">
        <f t="shared" si="13"/>
        <v>0x01</v>
      </c>
      <c r="Z14" t="str">
        <f t="shared" si="13"/>
        <v>0x03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C2_K[8]={0x00,0x00,0x03,0xF0,0xFF,0xF0,0x0E,0x00};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1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3"/>
        <v>0x00</v>
      </c>
      <c r="U15" t="str">
        <f t="shared" si="13"/>
        <v>0xF0</v>
      </c>
      <c r="V15" t="str">
        <f t="shared" si="13"/>
        <v>0xF1</v>
      </c>
      <c r="W15" t="str">
        <f t="shared" si="13"/>
        <v>0x03</v>
      </c>
      <c r="X15" t="str">
        <f t="shared" si="13"/>
        <v>0x60</v>
      </c>
      <c r="Y15" t="str">
        <f t="shared" si="13"/>
        <v>0xC0</v>
      </c>
      <c r="Z15" t="str">
        <f t="shared" si="13"/>
        <v>0x80</v>
      </c>
      <c r="AA15" t="str">
        <f t="shared" si="13"/>
        <v>0x00</v>
      </c>
      <c r="AC15" t="str">
        <f t="shared" si="14"/>
        <v>const uint8_t B2_K[8]={0x00,0x00,0x03,0xF1,0xFF,0xF8,0x0E,0x00};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3"/>
        <v>0x60</v>
      </c>
      <c r="U16" t="str">
        <f t="shared" si="13"/>
        <v>0xFF</v>
      </c>
      <c r="V16" t="str">
        <f t="shared" si="13"/>
        <v>0xFF</v>
      </c>
      <c r="W16" t="str">
        <f t="shared" si="13"/>
        <v>0x13</v>
      </c>
      <c r="X16" t="str">
        <f t="shared" si="13"/>
        <v>0x00</v>
      </c>
      <c r="Y16" t="str">
        <f t="shared" si="13"/>
        <v>0x00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A2_K[8]={0x00,0x00,0x00,0x03,0x13,0x0C,0x00,0x00};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3"/>
        <v>0x00</v>
      </c>
      <c r="U17" t="str">
        <f t="shared" si="13"/>
        <v>0xF0</v>
      </c>
      <c r="V17" t="str">
        <f t="shared" si="13"/>
        <v>0xF8</v>
      </c>
      <c r="W17" t="str">
        <f t="shared" si="13"/>
        <v>0x0C</v>
      </c>
      <c r="X17" t="str">
        <f t="shared" si="13"/>
        <v>0xF0</v>
      </c>
      <c r="Y17" t="str">
        <f t="shared" si="13"/>
        <v>0x30</v>
      </c>
      <c r="Z17" t="str">
        <f t="shared" si="13"/>
        <v>0x10</v>
      </c>
      <c r="AA17" t="str">
        <f t="shared" si="13"/>
        <v>0x00</v>
      </c>
      <c r="AC17" t="str">
        <f t="shared" si="14"/>
        <v>const uint8_t D1_K[8]={0x00,0x00,0x20,0x60,0x00,0xF0,0x20,0x00};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1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3"/>
        <v>0x00</v>
      </c>
      <c r="U18" t="str">
        <f t="shared" si="13"/>
        <v>0x0E</v>
      </c>
      <c r="V18" t="str">
        <f t="shared" si="13"/>
        <v>0x0E</v>
      </c>
      <c r="W18" t="str">
        <f t="shared" si="13"/>
        <v>0x00</v>
      </c>
      <c r="X18" t="str">
        <f t="shared" si="13"/>
        <v>0x20</v>
      </c>
      <c r="Y18" t="str">
        <f t="shared" si="13"/>
        <v>0x08</v>
      </c>
      <c r="Z18" t="str">
        <f t="shared" si="13"/>
        <v>0x0E</v>
      </c>
      <c r="AA18" t="str">
        <f t="shared" si="13"/>
        <v>0x06</v>
      </c>
      <c r="AC18" t="str">
        <f t="shared" si="14"/>
        <v>const uint8_t C1_K[8]={0x00,0x00,0x01,0xC0,0x00,0x30,0x08,0x00};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B1_K[8]={0x00,0x00,0x03,0x80,0x00,0x10,0x0E,0x00};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14"/>
        <v>const uint8_t A1_K[8]={0x00,0x00,0x03,0x00,0x00,0x00,0x06,0x00};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1</v>
      </c>
      <c r="M21" s="10">
        <v>1</v>
      </c>
      <c r="N21" s="10">
        <v>1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28" priority="1" operator="equal">
      <formula>2</formula>
    </cfRule>
    <cfRule type="cellIs" dxfId="127" priority="2" operator="equal">
      <formula>1</formula>
    </cfRule>
    <cfRule type="cellIs" dxfId="126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0DC29B-7575-416D-A0BE-9915BC2D20F1}">
  <sheetPr codeName="Planilha26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35</v>
      </c>
      <c r="AE3" t="s">
        <v>40</v>
      </c>
      <c r="AF3" t="s">
        <v>40</v>
      </c>
      <c r="AG3" t="s">
        <v>40</v>
      </c>
      <c r="AH3" t="s">
        <v>54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35</v>
      </c>
      <c r="AE4" t="s">
        <v>40</v>
      </c>
      <c r="AF4" t="s">
        <v>40</v>
      </c>
      <c r="AG4" t="s">
        <v>40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6E</v>
      </c>
      <c r="V7" t="str">
        <f>DEC2HEX(D22*2^0+D21*2^1+D20*2^2+D19*2^3+H22*2^4+H21*2^5+H20*2^6+H19*2^7,2)</f>
        <v>6E</v>
      </c>
      <c r="W7" t="str">
        <f>DEC2HEX(E22*2^0+E21*2^1+E20*2^2+E19*2^3+I22*2^4+I21*2^5+I20*2^6+I19*2^7,2)</f>
        <v>66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06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L_D2[6]={0x00,0x00,0x00,0x00,0x60,0x00};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0x03</v>
      </c>
      <c r="V14" t="str">
        <f t="shared" si="1"/>
        <v>0x03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L_C2[6]={0x03,0x0F,0x0F,0x0F,0x6E,0x00};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L_B2[6]={0x03,0x0F,0x0F,0x0F,0x6E,0x00};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L_A2[6]={0x00,0x00,0x00,0x00,0x66,0x00};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L_D1[6]={0x00,0x00,0x00,0x00,0x06,0x00};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0x60</v>
      </c>
      <c r="U18" t="str">
        <f t="shared" si="1"/>
        <v>0x6E</v>
      </c>
      <c r="V18" t="str">
        <f t="shared" si="1"/>
        <v>0x6E</v>
      </c>
      <c r="W18" t="str">
        <f t="shared" si="1"/>
        <v>0x66</v>
      </c>
      <c r="X18" t="str">
        <f t="shared" si="1"/>
        <v>0x06</v>
      </c>
      <c r="Y18" t="str">
        <f t="shared" si="1"/>
        <v>0x06</v>
      </c>
      <c r="Z18" t="str">
        <f t="shared" si="1"/>
        <v>0x00</v>
      </c>
      <c r="AA18" t="str">
        <f t="shared" si="1"/>
        <v>0x00</v>
      </c>
      <c r="AC18" t="str">
        <f t="shared" si="0"/>
        <v>const uint8_t L_C1[6]={0x00,0x00,0x00,0x00,0x06,0x00};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L_B1[6]={0x00,0x00,0x00,0x00,0x00,0x00};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L_A1[6]={0x00,0x00,0x00,0x00,0x00,0x00};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25" priority="1" operator="equal">
      <formula>2</formula>
    </cfRule>
    <cfRule type="cellIs" dxfId="124" priority="2" operator="equal">
      <formula>1</formula>
    </cfRule>
    <cfRule type="cellIs" dxfId="123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95622-A6F5-4AA2-A0F9-DC45647D2FC0}">
  <sheetPr codeName="Planilha27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117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35</v>
      </c>
      <c r="AE2" t="s">
        <v>70</v>
      </c>
      <c r="AF2" t="s">
        <v>75</v>
      </c>
      <c r="AG2" t="s">
        <v>40</v>
      </c>
      <c r="AH2" t="s">
        <v>42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03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03</v>
      </c>
      <c r="X3" t="str">
        <f>DEC2HEX(J6*2^0+J5*2^1+J4*2^2+J3*2^3+N6*2^4+N5*2^5+N4*2^6+N3*2^7,2)</f>
        <v>10</v>
      </c>
      <c r="Y3" t="str">
        <f>DEC2HEX(K6*2^0+K5*2^1+K4*2^2+K3*2^3+O6*2^4+O5*2^5+O4*2^6+O3*2^7,2)</f>
        <v>30</v>
      </c>
      <c r="Z3" t="str">
        <f>DEC2HEX(L6*2^0+L5*2^1+L4*2^2+L3*2^3+P6*2^4+P5*2^5+P4*2^6+P3*2^7,2)</f>
        <v>30</v>
      </c>
      <c r="AA3" t="str">
        <f>DEC2HEX(M6*2^0+M5*2^1+M4*2^2+M3*2^3+Q6*2^4+Q5*2^5+Q4*2^6+Q3*2^7,2)</f>
        <v>30</v>
      </c>
      <c r="AC3" t="s">
        <v>28</v>
      </c>
      <c r="AD3" t="s">
        <v>35</v>
      </c>
      <c r="AE3" t="s">
        <v>40</v>
      </c>
      <c r="AF3" t="s">
        <v>75</v>
      </c>
      <c r="AG3" t="s">
        <v>72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7F</v>
      </c>
      <c r="U4" t="str">
        <f>DEC2HEX(C10*2^0+C9*2^1+C8*2^2+C7*2^3+G10*2^4+G9*2^5+G8*2^6+G7*2^7,2)</f>
        <v>0F</v>
      </c>
      <c r="V4" t="str">
        <f>DEC2HEX(D10*2^0+D9*2^1+D8*2^2+D7*2^3+H10*2^4+H9*2^5+H8*2^6+H7*2^7,2)</f>
        <v>08</v>
      </c>
      <c r="W4" t="str">
        <f>DEC2HEX(E10*2^0+E9*2^1+E8*2^2+E7*2^3+I10*2^4+I9*2^5+I8*2^6+I7*2^7,2)</f>
        <v>0F</v>
      </c>
      <c r="X4" t="str">
        <f>DEC2HEX(J10*2^0+J9*2^1+J8*2^2+J7*2^3+N10*2^4+N9*2^5+N8*2^6+N7*2^7,2)</f>
        <v>F0</v>
      </c>
      <c r="Y4" t="str">
        <f>DEC2HEX(K10*2^0+K9*2^1+K8*2^2+K7*2^3+O10*2^4+O9*2^5+O8*2^6+O7*2^7,2)</f>
        <v>80</v>
      </c>
      <c r="Z4" t="str">
        <f>DEC2HEX(L10*2^0+L9*2^1+L8*2^2+L7*2^3+P10*2^4+P9*2^5+P8*2^6+P7*2^7,2)</f>
        <v>F0</v>
      </c>
      <c r="AA4" t="str">
        <f>DEC2HEX(M10*2^0+M9*2^1+M8*2^2+M7*2^3+Q10*2^4+Q9*2^5+Q8*2^6+Q7*2^7,2)</f>
        <v>F3</v>
      </c>
      <c r="AC4" t="s">
        <v>29</v>
      </c>
      <c r="AD4" t="s">
        <v>35</v>
      </c>
      <c r="AE4" t="s">
        <v>41</v>
      </c>
      <c r="AF4" t="s">
        <v>33</v>
      </c>
      <c r="AG4" t="s">
        <v>43</v>
      </c>
      <c r="AH4" t="s">
        <v>44</v>
      </c>
      <c r="AI4" t="s">
        <v>37</v>
      </c>
    </row>
    <row r="5" spans="1:35" x14ac:dyDescent="0.25">
      <c r="A5">
        <v>2</v>
      </c>
      <c r="B5" s="10">
        <v>1</v>
      </c>
      <c r="C5" s="10">
        <v>1</v>
      </c>
      <c r="D5" s="10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1</v>
      </c>
      <c r="P5" s="10">
        <v>1</v>
      </c>
      <c r="Q5" s="10">
        <v>1</v>
      </c>
      <c r="T5" t="str">
        <f>DEC2HEX(B14*2^0+B13*2^1+B12*2^2+B11*2^3+F14*2^4+F13*2^5+F12*2^6+F11*2^7,2)</f>
        <v>FF</v>
      </c>
      <c r="U5" t="str">
        <f>DEC2HEX(C14*2^0+C13*2^1+C12*2^2+C11*2^3+G14*2^4+G13*2^5+G12*2^6+G11*2^7,2)</f>
        <v>FF</v>
      </c>
      <c r="V5" t="str">
        <f>DEC2HEX(D14*2^0+D13*2^1+D12*2^2+D11*2^3+H14*2^4+H13*2^5+H12*2^6+H11*2^7,2)</f>
        <v>10</v>
      </c>
      <c r="W5" t="str">
        <f>DEC2HEX(E14*2^0+E13*2^1+E12*2^2+E11*2^3+I14*2^4+I13*2^5+I12*2^6+I11*2^7,2)</f>
        <v>08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01</v>
      </c>
      <c r="Z5" t="str">
        <f>DEC2HEX(L14*2^0+L13*2^1+L12*2^2+L11*2^3+P14*2^4+P13*2^5+P12*2^6+P11*2^7,2)</f>
        <v>F7</v>
      </c>
      <c r="AA5" t="str">
        <f>DEC2HEX(M14*2^0+M13*2^1+M12*2^2+M11*2^3+Q14*2^4+Q13*2^5+Q12*2^6+Q11*2^7,2)</f>
        <v>FE</v>
      </c>
      <c r="AC5" t="s">
        <v>2</v>
      </c>
      <c r="AD5" t="s">
        <v>35</v>
      </c>
      <c r="AE5" t="s">
        <v>40</v>
      </c>
      <c r="AF5" t="s">
        <v>41</v>
      </c>
      <c r="AG5" t="s">
        <v>34</v>
      </c>
      <c r="AH5" t="s">
        <v>38</v>
      </c>
      <c r="AI5" t="s">
        <v>37</v>
      </c>
    </row>
    <row r="6" spans="1:35" x14ac:dyDescent="0.25">
      <c r="A6">
        <v>3</v>
      </c>
      <c r="B6" s="10">
        <v>1</v>
      </c>
      <c r="C6" s="10">
        <v>1</v>
      </c>
      <c r="D6" s="10">
        <v>1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1</v>
      </c>
      <c r="O6" s="10">
        <v>1</v>
      </c>
      <c r="P6" s="10">
        <v>1</v>
      </c>
      <c r="Q6" s="10">
        <v>1</v>
      </c>
      <c r="T6" t="str">
        <f>DEC2HEX(B18*2^0+B17*2^1+B16*2^2+B15*2^3+F18*2^4+F17*2^5+F16*2^6+F15*2^7,2)</f>
        <v>0F</v>
      </c>
      <c r="U6" t="str">
        <f>DEC2HEX(C18*2^0+C17*2^1+C16*2^2+C15*2^3+G18*2^4+G17*2^5+G16*2^6+G15*2^7,2)</f>
        <v>EF</v>
      </c>
      <c r="V6" t="str">
        <f>DEC2HEX(D18*2^0+D17*2^1+D16*2^2+D15*2^3+H18*2^4+H17*2^5+H16*2^6+H15*2^7,2)</f>
        <v>F0</v>
      </c>
      <c r="W6" t="str">
        <f>DEC2HEX(E18*2^0+E17*2^1+E16*2^2+E15*2^3+I18*2^4+I17*2^5+I16*2^6+I15*2^7,2)</f>
        <v>30</v>
      </c>
      <c r="X6" t="str">
        <f>DEC2HEX(J18*2^0+J17*2^1+J16*2^2+J15*2^3+N18*2^4+N17*2^5+N16*2^6+N15*2^7,2)</f>
        <v>03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FC</v>
      </c>
      <c r="AA6" t="str">
        <f>DEC2HEX(M18*2^0+M17*2^1+M16*2^2+M15*2^3+Q18*2^4+Q17*2^5+Q16*2^6+Q15*2^7,2)</f>
        <v>F0</v>
      </c>
      <c r="AC6" t="s">
        <v>30</v>
      </c>
      <c r="AD6" t="s">
        <v>33</v>
      </c>
      <c r="AE6" t="s">
        <v>43</v>
      </c>
      <c r="AF6" t="s">
        <v>37</v>
      </c>
      <c r="AG6" t="s">
        <v>35</v>
      </c>
      <c r="AH6" t="s">
        <v>42</v>
      </c>
      <c r="AI6" t="s">
        <v>37</v>
      </c>
    </row>
    <row r="7" spans="1:35" x14ac:dyDescent="0.25">
      <c r="A7">
        <v>4</v>
      </c>
      <c r="B7" s="10">
        <v>1</v>
      </c>
      <c r="C7" s="10">
        <v>1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1</v>
      </c>
      <c r="O7" s="10">
        <v>1</v>
      </c>
      <c r="P7" s="10">
        <v>1</v>
      </c>
      <c r="Q7" s="10">
        <v>1</v>
      </c>
      <c r="T7" t="str">
        <f>DEC2HEX(B22*2^0+B21*2^1+B20*2^2+B19*2^3+F22*2^4+F21*2^5+F20*2^6+F19*2^7,2)</f>
        <v>0E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C0</v>
      </c>
      <c r="W7" t="str">
        <f>DEC2HEX(E22*2^0+E21*2^1+E20*2^2+E19*2^3+I22*2^4+I21*2^5+I20*2^6+I19*2^7,2)</f>
        <v>E0</v>
      </c>
      <c r="X7" t="str">
        <f>DEC2HEX(J22*2^0+J21*2^1+J20*2^2+J19*2^3+N22*2^4+N21*2^5+N20*2^6+N19*2^7,2)</f>
        <v>0E</v>
      </c>
      <c r="Y7" t="str">
        <f>DEC2HEX(K22*2^0+K21*2^1+K20*2^2+K19*2^3+O22*2^4+O21*2^5+O20*2^6+O19*2^7,2)</f>
        <v>08</v>
      </c>
      <c r="Z7" t="str">
        <f>DEC2HEX(L22*2^0+L21*2^1+L20*2^2+L19*2^3+P22*2^4+P21*2^5+P20*2^6+P19*2^7,2)</f>
        <v>E0</v>
      </c>
      <c r="AA7" t="str">
        <f>DEC2HEX(M22*2^0+M21*2^1+M20*2^2+M19*2^3+Q22*2^4+Q21*2^5+Q20*2^6+Q19*2^7,2)</f>
        <v>E0</v>
      </c>
      <c r="AC7" t="s">
        <v>31</v>
      </c>
      <c r="AD7" t="s">
        <v>34</v>
      </c>
      <c r="AE7" t="s">
        <v>39</v>
      </c>
      <c r="AF7" t="s">
        <v>36</v>
      </c>
      <c r="AG7" t="s">
        <v>40</v>
      </c>
      <c r="AH7" t="s">
        <v>41</v>
      </c>
      <c r="AI7" t="s">
        <v>37</v>
      </c>
    </row>
    <row r="8" spans="1:35" x14ac:dyDescent="0.25">
      <c r="A8">
        <v>5</v>
      </c>
      <c r="B8" s="10">
        <v>1</v>
      </c>
      <c r="C8" s="10">
        <v>1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1</v>
      </c>
      <c r="O8" s="10">
        <v>0</v>
      </c>
      <c r="P8" s="10">
        <v>1</v>
      </c>
      <c r="Q8" s="10">
        <v>1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34</v>
      </c>
      <c r="AE8" t="s">
        <v>43</v>
      </c>
      <c r="AF8" t="s">
        <v>89</v>
      </c>
      <c r="AG8" t="s">
        <v>74</v>
      </c>
      <c r="AH8" t="s">
        <v>38</v>
      </c>
      <c r="AI8" t="s">
        <v>37</v>
      </c>
    </row>
    <row r="9" spans="1:35" x14ac:dyDescent="0.25">
      <c r="A9">
        <v>6</v>
      </c>
      <c r="B9" s="10">
        <v>1</v>
      </c>
      <c r="C9" s="10">
        <v>1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1</v>
      </c>
      <c r="Q9" s="10">
        <v>1</v>
      </c>
      <c r="AC9" t="s">
        <v>1</v>
      </c>
      <c r="AD9" t="s">
        <v>34</v>
      </c>
      <c r="AE9" t="s">
        <v>73</v>
      </c>
      <c r="AF9" t="s">
        <v>90</v>
      </c>
      <c r="AG9" t="s">
        <v>43</v>
      </c>
      <c r="AH9" t="s">
        <v>38</v>
      </c>
      <c r="AI9" t="s">
        <v>37</v>
      </c>
    </row>
    <row r="10" spans="1:35" x14ac:dyDescent="0.25">
      <c r="A10">
        <v>7</v>
      </c>
      <c r="B10" s="10">
        <v>1</v>
      </c>
      <c r="C10" s="10">
        <v>1</v>
      </c>
      <c r="D10" s="10">
        <v>0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</v>
      </c>
      <c r="N10" s="10">
        <v>1</v>
      </c>
      <c r="O10" s="10">
        <v>0</v>
      </c>
      <c r="P10" s="10">
        <v>1</v>
      </c>
      <c r="Q10" s="10">
        <v>1</v>
      </c>
    </row>
    <row r="11" spans="1:35" x14ac:dyDescent="0.25">
      <c r="A11">
        <v>8</v>
      </c>
      <c r="B11" s="10">
        <v>1</v>
      </c>
      <c r="C11" s="10">
        <v>1</v>
      </c>
      <c r="D11" s="10">
        <v>0</v>
      </c>
      <c r="E11" s="10">
        <v>1</v>
      </c>
      <c r="F11" s="10">
        <v>1</v>
      </c>
      <c r="G11" s="10">
        <v>1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0</v>
      </c>
      <c r="O11" s="10">
        <v>0</v>
      </c>
      <c r="P11" s="10">
        <v>1</v>
      </c>
      <c r="Q11" s="10">
        <v>1</v>
      </c>
    </row>
    <row r="12" spans="1:35" x14ac:dyDescent="0.25">
      <c r="A12">
        <v>9</v>
      </c>
      <c r="B12" s="10">
        <v>1</v>
      </c>
      <c r="C12" s="10">
        <v>1</v>
      </c>
      <c r="D12" s="10">
        <v>0</v>
      </c>
      <c r="E12" s="10">
        <v>0</v>
      </c>
      <c r="F12" s="10">
        <v>1</v>
      </c>
      <c r="G12" s="10">
        <v>1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1</v>
      </c>
      <c r="Q12" s="10">
        <v>1</v>
      </c>
    </row>
    <row r="13" spans="1:35" x14ac:dyDescent="0.25">
      <c r="A13">
        <v>10</v>
      </c>
      <c r="B13" s="10">
        <v>1</v>
      </c>
      <c r="C13" s="10">
        <v>1</v>
      </c>
      <c r="D13" s="10">
        <v>0</v>
      </c>
      <c r="E13" s="10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1</v>
      </c>
      <c r="Q13" s="10">
        <v>1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M_D2[6]={0x03,0x7F,0xFF,0x0F,0x0E,0x00};</v>
      </c>
    </row>
    <row r="14" spans="1:35" x14ac:dyDescent="0.25">
      <c r="A14">
        <v>11</v>
      </c>
      <c r="B14" s="10">
        <v>1</v>
      </c>
      <c r="C14" s="10">
        <v>1</v>
      </c>
      <c r="D14" s="10">
        <v>0</v>
      </c>
      <c r="E14" s="10">
        <v>0</v>
      </c>
      <c r="F14" s="10">
        <v>1</v>
      </c>
      <c r="G14" s="10">
        <v>1</v>
      </c>
      <c r="H14" s="10">
        <v>1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1</v>
      </c>
      <c r="Q14" s="10">
        <v>1</v>
      </c>
      <c r="T14" t="str">
        <f t="shared" ref="T14:AA19" si="1">_xlfn.CONCAT("0x",T3)</f>
        <v>0x03</v>
      </c>
      <c r="U14" t="str">
        <f t="shared" si="1"/>
        <v>0x03</v>
      </c>
      <c r="V14" t="str">
        <f t="shared" si="1"/>
        <v>0x03</v>
      </c>
      <c r="W14" t="str">
        <f t="shared" si="1"/>
        <v>0x03</v>
      </c>
      <c r="X14" t="str">
        <f t="shared" si="1"/>
        <v>0x10</v>
      </c>
      <c r="Y14" t="str">
        <f t="shared" si="1"/>
        <v>0x30</v>
      </c>
      <c r="Z14" t="str">
        <f t="shared" si="1"/>
        <v>0x30</v>
      </c>
      <c r="AA14" t="str">
        <f t="shared" si="1"/>
        <v>0x30</v>
      </c>
      <c r="AC14" t="str">
        <f t="shared" si="0"/>
        <v>const uint8_t M_C2[6]={0x03,0x0F,0xFF,0xEF,0x0E,0x00};</v>
      </c>
    </row>
    <row r="15" spans="1:35" x14ac:dyDescent="0.25">
      <c r="A15">
        <v>12</v>
      </c>
      <c r="B15" s="10">
        <v>1</v>
      </c>
      <c r="C15" s="10">
        <v>1</v>
      </c>
      <c r="D15" s="10">
        <v>0</v>
      </c>
      <c r="E15" s="10">
        <v>0</v>
      </c>
      <c r="F15" s="10">
        <v>0</v>
      </c>
      <c r="G15" s="10">
        <v>1</v>
      </c>
      <c r="H15" s="10">
        <v>1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1</v>
      </c>
      <c r="Q15" s="10">
        <v>1</v>
      </c>
      <c r="T15" t="str">
        <f t="shared" si="1"/>
        <v>0x7F</v>
      </c>
      <c r="U15" t="str">
        <f t="shared" si="1"/>
        <v>0x0F</v>
      </c>
      <c r="V15" t="str">
        <f t="shared" si="1"/>
        <v>0x08</v>
      </c>
      <c r="W15" t="str">
        <f t="shared" si="1"/>
        <v>0x0F</v>
      </c>
      <c r="X15" t="str">
        <f t="shared" si="1"/>
        <v>0xF0</v>
      </c>
      <c r="Y15" t="str">
        <f t="shared" si="1"/>
        <v>0x80</v>
      </c>
      <c r="Z15" t="str">
        <f t="shared" si="1"/>
        <v>0xF0</v>
      </c>
      <c r="AA15" t="str">
        <f t="shared" si="1"/>
        <v>0xF3</v>
      </c>
      <c r="AC15" t="str">
        <f t="shared" si="0"/>
        <v>const uint8_t M_B2[6]={0x03,0x08,0x10,0xF0,0xC0,0x00};</v>
      </c>
    </row>
    <row r="16" spans="1:35" x14ac:dyDescent="0.25">
      <c r="A16">
        <v>13</v>
      </c>
      <c r="B16" s="10">
        <v>1</v>
      </c>
      <c r="C16" s="10">
        <v>1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1</v>
      </c>
      <c r="Q16" s="10">
        <v>1</v>
      </c>
      <c r="T16" t="str">
        <f t="shared" si="1"/>
        <v>0xFF</v>
      </c>
      <c r="U16" t="str">
        <f t="shared" si="1"/>
        <v>0xFF</v>
      </c>
      <c r="V16" t="str">
        <f t="shared" si="1"/>
        <v>0x10</v>
      </c>
      <c r="W16" t="str">
        <f t="shared" si="1"/>
        <v>0x08</v>
      </c>
      <c r="X16" t="str">
        <f t="shared" si="1"/>
        <v>0x00</v>
      </c>
      <c r="Y16" t="str">
        <f t="shared" si="1"/>
        <v>0x01</v>
      </c>
      <c r="Z16" t="str">
        <f t="shared" si="1"/>
        <v>0xF7</v>
      </c>
      <c r="AA16" t="str">
        <f t="shared" si="1"/>
        <v>0xFE</v>
      </c>
      <c r="AC16" t="str">
        <f t="shared" si="0"/>
        <v>const uint8_t M_A2[6]={0x03,0x0F,0x08,0x30,0xE0,0x00};</v>
      </c>
    </row>
    <row r="17" spans="1:29" x14ac:dyDescent="0.25">
      <c r="A17">
        <v>14</v>
      </c>
      <c r="B17" s="10">
        <v>1</v>
      </c>
      <c r="C17" s="10">
        <v>1</v>
      </c>
      <c r="D17" s="10">
        <v>0</v>
      </c>
      <c r="E17" s="10">
        <v>0</v>
      </c>
      <c r="F17" s="10">
        <v>0</v>
      </c>
      <c r="G17" s="10">
        <v>1</v>
      </c>
      <c r="H17" s="10">
        <v>1</v>
      </c>
      <c r="I17" s="10">
        <v>1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1</v>
      </c>
      <c r="Q17" s="10">
        <v>1</v>
      </c>
      <c r="T17" t="str">
        <f t="shared" si="1"/>
        <v>0x0F</v>
      </c>
      <c r="U17" t="str">
        <f t="shared" si="1"/>
        <v>0xEF</v>
      </c>
      <c r="V17" t="str">
        <f t="shared" si="1"/>
        <v>0xF0</v>
      </c>
      <c r="W17" t="str">
        <f t="shared" si="1"/>
        <v>0x30</v>
      </c>
      <c r="X17" t="str">
        <f t="shared" si="1"/>
        <v>0x03</v>
      </c>
      <c r="Y17" t="str">
        <f t="shared" si="1"/>
        <v>0x0F</v>
      </c>
      <c r="Z17" t="str">
        <f t="shared" si="1"/>
        <v>0xFC</v>
      </c>
      <c r="AA17" t="str">
        <f t="shared" si="1"/>
        <v>0xF0</v>
      </c>
      <c r="AC17" t="str">
        <f t="shared" si="0"/>
        <v>const uint8_t M_D1[6]={0x10,0xF0,0x00,0x03,0x0E,0x00};</v>
      </c>
    </row>
    <row r="18" spans="1:29" x14ac:dyDescent="0.25">
      <c r="A18">
        <v>15</v>
      </c>
      <c r="B18" s="10">
        <v>1</v>
      </c>
      <c r="C18" s="10">
        <v>1</v>
      </c>
      <c r="D18" s="10">
        <v>0</v>
      </c>
      <c r="E18" s="10">
        <v>0</v>
      </c>
      <c r="F18" s="10">
        <v>0</v>
      </c>
      <c r="G18" s="10">
        <v>0</v>
      </c>
      <c r="H18" s="10">
        <v>1</v>
      </c>
      <c r="I18" s="10">
        <v>1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1</v>
      </c>
      <c r="Q18" s="10">
        <v>1</v>
      </c>
      <c r="T18" t="str">
        <f t="shared" si="1"/>
        <v>0x0E</v>
      </c>
      <c r="U18" t="str">
        <f t="shared" si="1"/>
        <v>0x0E</v>
      </c>
      <c r="V18" t="str">
        <f t="shared" si="1"/>
        <v>0xC0</v>
      </c>
      <c r="W18" t="str">
        <f t="shared" si="1"/>
        <v>0xE0</v>
      </c>
      <c r="X18" t="str">
        <f t="shared" si="1"/>
        <v>0x0E</v>
      </c>
      <c r="Y18" t="str">
        <f t="shared" si="1"/>
        <v>0x08</v>
      </c>
      <c r="Z18" t="str">
        <f t="shared" si="1"/>
        <v>0xE0</v>
      </c>
      <c r="AA18" t="str">
        <f t="shared" si="1"/>
        <v>0xE0</v>
      </c>
      <c r="AC18" t="str">
        <f t="shared" si="0"/>
        <v>const uint8_t M_C1[6]={0x30,0x80,0x01,0x0F,0x08,0x00};</v>
      </c>
    </row>
    <row r="19" spans="1:29" x14ac:dyDescent="0.25">
      <c r="A19">
        <v>16</v>
      </c>
      <c r="B19" s="10">
        <v>1</v>
      </c>
      <c r="C19" s="10">
        <v>1</v>
      </c>
      <c r="D19" s="10">
        <v>0</v>
      </c>
      <c r="E19" s="10">
        <v>0</v>
      </c>
      <c r="F19" s="10">
        <v>0</v>
      </c>
      <c r="G19" s="10">
        <v>0</v>
      </c>
      <c r="H19" s="10">
        <v>1</v>
      </c>
      <c r="I19" s="10">
        <v>1</v>
      </c>
      <c r="J19" s="10">
        <v>1</v>
      </c>
      <c r="K19" s="10">
        <v>1</v>
      </c>
      <c r="L19" s="10">
        <v>0</v>
      </c>
      <c r="M19" s="10">
        <v>0</v>
      </c>
      <c r="N19" s="10">
        <v>0</v>
      </c>
      <c r="O19" s="10">
        <v>0</v>
      </c>
      <c r="P19" s="10">
        <v>1</v>
      </c>
      <c r="Q19" s="10">
        <v>1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M_B1[6]={0x30,0xF0,0xF7,0xFC,0xE0,0x00};</v>
      </c>
    </row>
    <row r="20" spans="1:29" x14ac:dyDescent="0.25">
      <c r="A20">
        <v>17</v>
      </c>
      <c r="B20" s="10">
        <v>1</v>
      </c>
      <c r="C20" s="10">
        <v>1</v>
      </c>
      <c r="D20" s="10">
        <v>0</v>
      </c>
      <c r="E20" s="10">
        <v>0</v>
      </c>
      <c r="F20" s="10">
        <v>0</v>
      </c>
      <c r="G20" s="10">
        <v>0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1</v>
      </c>
      <c r="Q20" s="10">
        <v>1</v>
      </c>
      <c r="AC20" t="str">
        <f t="shared" si="0"/>
        <v>const uint8_t M_A1[6]={0x30,0xF3,0xFE,0xF0,0xE0,0x00};</v>
      </c>
    </row>
    <row r="21" spans="1:29" x14ac:dyDescent="0.25">
      <c r="A21">
        <v>18</v>
      </c>
      <c r="B21" s="10">
        <v>1</v>
      </c>
      <c r="C21" s="10">
        <v>1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1</v>
      </c>
      <c r="Q21" s="10">
        <v>1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22" priority="1" operator="equal">
      <formula>2</formula>
    </cfRule>
    <cfRule type="cellIs" dxfId="121" priority="2" operator="equal">
      <formula>1</formula>
    </cfRule>
    <cfRule type="cellIs" dxfId="120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497CF-76F9-44D1-B5CA-EBE52307A36A}">
  <sheetPr codeName="Planilha28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118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38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10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03</v>
      </c>
      <c r="X3" t="str">
        <f>DEC2HEX(J6*2^0+J5*2^1+J4*2^2+J3*2^3+N6*2^4+N5*2^5+N4*2^6+N3*2^7,2)</f>
        <v>30</v>
      </c>
      <c r="Y3" t="str">
        <f>DEC2HEX(K6*2^0+K5*2^1+K4*2^2+K3*2^3+O6*2^4+O5*2^5+O4*2^6+O3*2^7,2)</f>
        <v>30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35</v>
      </c>
      <c r="AE3" t="s">
        <v>70</v>
      </c>
      <c r="AF3" t="s">
        <v>71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E0</v>
      </c>
      <c r="U4" t="str">
        <f>DEC2HEX(C10*2^0+C9*2^1+C8*2^2+C7*2^3+G10*2^4+G9*2^5+G8*2^6+G7*2^7,2)</f>
        <v>7F</v>
      </c>
      <c r="V4" t="str">
        <f>DEC2HEX(D10*2^0+D9*2^1+D8*2^2+D7*2^3+H10*2^4+H9*2^5+H8*2^6+H7*2^7,2)</f>
        <v>1F</v>
      </c>
      <c r="W4" t="str">
        <f>DEC2HEX(E10*2^0+E9*2^1+E8*2^2+E7*2^3+I10*2^4+I9*2^5+I8*2^6+I7*2^7,2)</f>
        <v>08</v>
      </c>
      <c r="X4" t="str">
        <f>DEC2HEX(J10*2^0+J9*2^1+J8*2^2+J7*2^3+N10*2^4+N9*2^5+N8*2^6+N7*2^7,2)</f>
        <v>F0</v>
      </c>
      <c r="Y4" t="str">
        <f>DEC2HEX(K10*2^0+K9*2^1+K8*2^2+K7*2^3+O10*2^4+O9*2^5+O8*2^6+O7*2^7,2)</f>
        <v>F0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35</v>
      </c>
      <c r="AE4" t="s">
        <v>68</v>
      </c>
      <c r="AF4" t="s">
        <v>72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1</v>
      </c>
      <c r="O5" s="10">
        <v>1</v>
      </c>
      <c r="P5" s="10">
        <v>0</v>
      </c>
      <c r="Q5" s="10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8F</v>
      </c>
      <c r="V5" t="str">
        <f>DEC2HEX(D14*2^0+D13*2^1+D12*2^2+D11*2^3+H14*2^4+H13*2^5+H12*2^6+H11*2^7,2)</f>
        <v>EF</v>
      </c>
      <c r="W5" t="str">
        <f>DEC2HEX(E14*2^0+E13*2^1+E12*2^2+E11*2^3+I14*2^4+I13*2^5+I12*2^6+I11*2^7,2)</f>
        <v>70</v>
      </c>
      <c r="X5" t="str">
        <f>DEC2HEX(J14*2^0+J13*2^1+J12*2^2+J11*2^3+N14*2^4+N13*2^5+N12*2^6+N11*2^7,2)</f>
        <v>F3</v>
      </c>
      <c r="Y5" t="str">
        <f>DEC2HEX(K14*2^0+K13*2^1+K12*2^2+K11*2^3+O14*2^4+O13*2^5+O12*2^6+O11*2^7,2)</f>
        <v>F0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35</v>
      </c>
      <c r="AE5" t="s">
        <v>41</v>
      </c>
      <c r="AF5" t="s">
        <v>51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1</v>
      </c>
      <c r="O6" s="10">
        <v>1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FC</v>
      </c>
      <c r="Y6" t="str">
        <f>DEC2HEX(K18*2^0+K17*2^1+K16*2^2+K15*2^3+O18*2^4+O17*2^5+O16*2^6+O15*2^7,2)</f>
        <v>FF</v>
      </c>
      <c r="Z6" t="str">
        <f>DEC2HEX(L18*2^0+L17*2^1+L16*2^2+L15*2^3+P18*2^4+P17*2^5+P16*2^6+P15*2^7,2)</f>
        <v>03</v>
      </c>
      <c r="AA6" t="str">
        <f>DEC2HEX(M18*2^0+M17*2^1+M16*2^2+M15*2^3+Q18*2^4+Q17*2^5+Q16*2^6+Q15*2^7,2)</f>
        <v>00</v>
      </c>
      <c r="AC6" t="s">
        <v>30</v>
      </c>
      <c r="AD6" t="s">
        <v>34</v>
      </c>
      <c r="AE6" t="s">
        <v>43</v>
      </c>
      <c r="AF6" t="s">
        <v>73</v>
      </c>
      <c r="AG6" t="s">
        <v>74</v>
      </c>
      <c r="AH6" t="s">
        <v>38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1</v>
      </c>
      <c r="O7" s="10">
        <v>1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E0</v>
      </c>
      <c r="Y7" t="str">
        <f>DEC2HEX(K22*2^0+K21*2^1+K20*2^2+K19*2^3+O22*2^4+O21*2^5+O20*2^6+O19*2^7,2)</f>
        <v>E0</v>
      </c>
      <c r="Z7" t="str">
        <f>DEC2HEX(L22*2^0+L21*2^1+L20*2^2+L19*2^3+P22*2^4+P21*2^5+P20*2^6+P19*2^7,2)</f>
        <v>0C</v>
      </c>
      <c r="AA7" t="str">
        <f>DEC2HEX(M22*2^0+M21*2^1+M20*2^2+M19*2^3+Q22*2^4+Q21*2^5+Q20*2^6+Q19*2^7,2)</f>
        <v>0E</v>
      </c>
      <c r="AC7" t="s">
        <v>31</v>
      </c>
      <c r="AD7" t="s">
        <v>34</v>
      </c>
      <c r="AE7" t="s">
        <v>43</v>
      </c>
      <c r="AF7" t="s">
        <v>43</v>
      </c>
      <c r="AG7" t="s">
        <v>75</v>
      </c>
      <c r="AH7" t="s">
        <v>38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1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1</v>
      </c>
      <c r="O8" s="10">
        <v>1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35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1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1</v>
      </c>
      <c r="O9" s="10">
        <v>1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42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1</v>
      </c>
      <c r="H10" s="10">
        <v>1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1</v>
      </c>
      <c r="O10" s="10">
        <v>1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1</v>
      </c>
      <c r="H11" s="10">
        <v>1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1</v>
      </c>
      <c r="O11" s="10">
        <v>1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1</v>
      </c>
      <c r="I12" s="10">
        <v>1</v>
      </c>
      <c r="J12" s="10">
        <v>0</v>
      </c>
      <c r="K12" s="10">
        <v>0</v>
      </c>
      <c r="L12" s="10">
        <v>0</v>
      </c>
      <c r="M12" s="10">
        <v>0</v>
      </c>
      <c r="N12" s="10">
        <v>1</v>
      </c>
      <c r="O12" s="10">
        <v>1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1</v>
      </c>
      <c r="I13" s="10">
        <v>1</v>
      </c>
      <c r="J13" s="10">
        <v>1</v>
      </c>
      <c r="K13" s="10">
        <v>0</v>
      </c>
      <c r="L13" s="10">
        <v>0</v>
      </c>
      <c r="M13" s="10">
        <v>0</v>
      </c>
      <c r="N13" s="10">
        <v>1</v>
      </c>
      <c r="O13" s="10">
        <v>1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N_D2[6]={0x10,0xE0,0x00,0x00,0x00,0x00};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1</v>
      </c>
      <c r="O14" s="10">
        <v>1</v>
      </c>
      <c r="P14" s="10">
        <v>0</v>
      </c>
      <c r="Q14" s="10">
        <v>0</v>
      </c>
      <c r="T14" t="str">
        <f t="shared" ref="T14:AA19" si="1">_xlfn.CONCAT("0x",T3)</f>
        <v>0x10</v>
      </c>
      <c r="U14" t="str">
        <f t="shared" si="1"/>
        <v>0x03</v>
      </c>
      <c r="V14" t="str">
        <f t="shared" si="1"/>
        <v>0x03</v>
      </c>
      <c r="W14" t="str">
        <f t="shared" si="1"/>
        <v>0x03</v>
      </c>
      <c r="X14" t="str">
        <f t="shared" si="1"/>
        <v>0x30</v>
      </c>
      <c r="Y14" t="str">
        <f t="shared" si="1"/>
        <v>0x30</v>
      </c>
      <c r="Z14" t="str">
        <f t="shared" si="1"/>
        <v>0x00</v>
      </c>
      <c r="AA14" t="str">
        <f t="shared" si="1"/>
        <v>0x00</v>
      </c>
      <c r="AC14" t="str">
        <f t="shared" si="0"/>
        <v>const uint8_t N_C2[6]={0x03,0x7F,0x8F,0x0F,0x0E,0x00};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1</v>
      </c>
      <c r="K15" s="10">
        <v>1</v>
      </c>
      <c r="L15" s="10">
        <v>0</v>
      </c>
      <c r="M15" s="10">
        <v>0</v>
      </c>
      <c r="N15" s="10">
        <v>1</v>
      </c>
      <c r="O15" s="10">
        <v>1</v>
      </c>
      <c r="P15" s="10">
        <v>0</v>
      </c>
      <c r="Q15" s="10">
        <v>0</v>
      </c>
      <c r="T15" t="str">
        <f t="shared" si="1"/>
        <v>0xE0</v>
      </c>
      <c r="U15" t="str">
        <f t="shared" si="1"/>
        <v>0x7F</v>
      </c>
      <c r="V15" t="str">
        <f t="shared" si="1"/>
        <v>0x1F</v>
      </c>
      <c r="W15" t="str">
        <f t="shared" si="1"/>
        <v>0x08</v>
      </c>
      <c r="X15" t="str">
        <f t="shared" si="1"/>
        <v>0xF0</v>
      </c>
      <c r="Y15" t="str">
        <f t="shared" si="1"/>
        <v>0xF0</v>
      </c>
      <c r="Z15" t="str">
        <f t="shared" si="1"/>
        <v>0x00</v>
      </c>
      <c r="AA15" t="str">
        <f t="shared" si="1"/>
        <v>0x00</v>
      </c>
      <c r="AC15" t="str">
        <f t="shared" si="0"/>
        <v>const uint8_t N_B2[6]={0x03,0x1F,0xEF,0x0F,0x0E,0x00};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1</v>
      </c>
      <c r="K16" s="10">
        <v>1</v>
      </c>
      <c r="L16" s="10">
        <v>0</v>
      </c>
      <c r="M16" s="10">
        <v>0</v>
      </c>
      <c r="N16" s="10">
        <v>1</v>
      </c>
      <c r="O16" s="10">
        <v>1</v>
      </c>
      <c r="P16" s="10">
        <v>0</v>
      </c>
      <c r="Q16" s="10">
        <v>0</v>
      </c>
      <c r="T16" t="str">
        <f t="shared" si="1"/>
        <v>0x00</v>
      </c>
      <c r="U16" t="str">
        <f t="shared" si="1"/>
        <v>0x8F</v>
      </c>
      <c r="V16" t="str">
        <f t="shared" si="1"/>
        <v>0xEF</v>
      </c>
      <c r="W16" t="str">
        <f t="shared" si="1"/>
        <v>0x70</v>
      </c>
      <c r="X16" t="str">
        <f t="shared" si="1"/>
        <v>0xF3</v>
      </c>
      <c r="Y16" t="str">
        <f t="shared" si="1"/>
        <v>0xF0</v>
      </c>
      <c r="Z16" t="str">
        <f t="shared" si="1"/>
        <v>0x00</v>
      </c>
      <c r="AA16" t="str">
        <f t="shared" si="1"/>
        <v>0x00</v>
      </c>
      <c r="AC16" t="str">
        <f t="shared" si="0"/>
        <v>const uint8_t N_A2[6]={0x03,0x08,0x70,0x00,0x00,0x00};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1</v>
      </c>
      <c r="O17" s="10">
        <v>1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0xFC</v>
      </c>
      <c r="Y17" t="str">
        <f t="shared" si="1"/>
        <v>0xFF</v>
      </c>
      <c r="Z17" t="str">
        <f t="shared" si="1"/>
        <v>0x03</v>
      </c>
      <c r="AA17" t="str">
        <f t="shared" si="1"/>
        <v>0x00</v>
      </c>
      <c r="AC17" t="str">
        <f t="shared" si="0"/>
        <v>const uint8_t N_D1[6]={0x30,0xF0,0xF3,0xFC,0xE0,0x00};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1</v>
      </c>
      <c r="O18" s="10">
        <v>1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0xE0</v>
      </c>
      <c r="Y18" t="str">
        <f t="shared" si="1"/>
        <v>0xE0</v>
      </c>
      <c r="Z18" t="str">
        <f t="shared" si="1"/>
        <v>0x0C</v>
      </c>
      <c r="AA18" t="str">
        <f t="shared" si="1"/>
        <v>0x0E</v>
      </c>
      <c r="AC18" t="str">
        <f t="shared" si="0"/>
        <v>const uint8_t N_C1[6]={0x30,0xF0,0xF0,0xFF,0xE0,0x00};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1</v>
      </c>
      <c r="M19" s="10">
        <v>1</v>
      </c>
      <c r="N19" s="10">
        <v>1</v>
      </c>
      <c r="O19" s="10">
        <v>1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N_B1[6]={0x00,0x00,0x00,0x03,0x0C,0x00};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1</v>
      </c>
      <c r="M20" s="10">
        <v>1</v>
      </c>
      <c r="N20" s="10">
        <v>1</v>
      </c>
      <c r="O20" s="10">
        <v>1</v>
      </c>
      <c r="P20" s="10">
        <v>0</v>
      </c>
      <c r="Q20" s="10">
        <v>0</v>
      </c>
      <c r="AC20" t="str">
        <f t="shared" si="0"/>
        <v>const uint8_t N_A1[6]={0x00,0x00,0x00,0x00,0x0E,0x00};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1</v>
      </c>
      <c r="N21" s="10">
        <v>1</v>
      </c>
      <c r="O21" s="10">
        <v>1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19" priority="1" operator="equal">
      <formula>2</formula>
    </cfRule>
    <cfRule type="cellIs" dxfId="118" priority="2" operator="equal">
      <formula>1</formula>
    </cfRule>
    <cfRule type="cellIs" dxfId="117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6224A-D618-4933-9155-7E89C40421FA}">
  <sheetPr codeName="Planilha29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119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48</v>
      </c>
      <c r="AF2" t="s">
        <v>37</v>
      </c>
      <c r="AG2" t="s">
        <v>36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s="28" t="str">
        <f>DEC2HEX(B6*2^0+B5*2^1+B4*2^2+B3*2^3+F6*2^4+F5*2^5+F4*2^6+F3*2^7,2)</f>
        <v>10</v>
      </c>
      <c r="U3" s="28" t="str">
        <f>DEC2HEX(C6*2^0+C5*2^1+C4*2^2+C3*2^3+G6*2^4+G5*2^5+G4*2^6+G3*2^7,2)</f>
        <v>10</v>
      </c>
      <c r="V3" s="28" t="str">
        <f>DEC2HEX(D6*2^0+D5*2^1+D4*2^2+D3*2^3+H6*2^4+H5*2^5+H4*2^6+H3*2^7,2)</f>
        <v>30</v>
      </c>
      <c r="W3" s="28" t="str">
        <f>DEC2HEX(E6*2^0+E5*2^1+E4*2^2+E3*2^3+I6*2^4+I5*2^5+I4*2^6+I3*2^7,2)</f>
        <v>30</v>
      </c>
      <c r="X3" s="28" t="str">
        <f>DEC2HEX(J6*2^0+J5*2^1+J4*2^2+J3*2^3+N6*2^4+N5*2^5+N4*2^6+N3*2^7,2)</f>
        <v>13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03</v>
      </c>
      <c r="AA3" s="28" t="str">
        <f>DEC2HEX(M6*2^0+M5*2^1+M4*2^2+M3*2^3+Q6*2^4+Q5*2^5+Q4*2^6+Q3*2^7,2)</f>
        <v>01</v>
      </c>
      <c r="AC3" t="s">
        <v>28</v>
      </c>
      <c r="AD3" t="s">
        <v>33</v>
      </c>
      <c r="AE3" t="s">
        <v>81</v>
      </c>
      <c r="AF3" t="s">
        <v>40</v>
      </c>
      <c r="AG3" t="s">
        <v>44</v>
      </c>
      <c r="AH3" t="s">
        <v>44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s="28" t="str">
        <f>DEC2HEX(B10*2^4+B9*2^5+B8*2^6+B7*2^7+F10*2^0+F9*2^1+F8*2^2+F7*2^3,2)</f>
        <v>0C</v>
      </c>
      <c r="U4" s="28" t="str">
        <f>DEC2HEX(C10*2^4+C9*2^5+C8*2^6+C7*2^7+G10*2^0+G9*2^1+G8*2^2+G7*2^3,2)</f>
        <v>18</v>
      </c>
      <c r="V4" s="28" t="str">
        <f>DEC2HEX(D10*2^4+D9*2^5+D8*2^6+D7*2^7+H10*2^0+H9*2^1+H8*2^2+H7*2^3,2)</f>
        <v>70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0C</v>
      </c>
      <c r="Y4" s="28" t="str">
        <f>DEC2HEX(K10*2^4+K9*2^5+K8*2^6+K7*2^7+O10*2^0+O9*2^1+O8*2^2+O7*2^3,2)</f>
        <v>0F</v>
      </c>
      <c r="Z4" s="28" t="str">
        <f>DEC2HEX(L10*2^4+L9*2^5+L8*2^6+L7*2^7+P10*2^0+P9*2^1+P8*2^2+P7*2^3,2)</f>
        <v>07</v>
      </c>
      <c r="AA4" s="28" t="str">
        <f>DEC2HEX(M10*2^4+M9*2^5+M8*2^6+M7*2^7+Q10*2^0+Q9*2^1+Q8*2^2+Q7*2^3,2)</f>
        <v>81</v>
      </c>
      <c r="AC4" t="s">
        <v>29</v>
      </c>
      <c r="AD4" t="s">
        <v>34</v>
      </c>
      <c r="AE4" t="s">
        <v>51</v>
      </c>
      <c r="AF4" t="s">
        <v>40</v>
      </c>
      <c r="AG4" t="s">
        <v>43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0F</v>
      </c>
      <c r="V5" s="28" t="str">
        <f>DEC2HEX(D14*2^0+D13*2^1+D12*2^2+D11*2^3+H14*2^4+H13*2^5+H12*2^6+H11*2^7,2)</f>
        <v>0F</v>
      </c>
      <c r="W5" s="28" t="str">
        <f t="shared" ref="W5" si="2">DEC2HEX(E14*2^0+E13*2^1+E12*2^2+E11*2^3+I14*2^4+I13*2^5+I12*2^6+I11*2^7,2)</f>
        <v>00</v>
      </c>
      <c r="X5" s="28" t="str">
        <f t="shared" ref="X5:Y5" si="3">DEC2HEX(J14*2^0+J13*2^1+J12*2^2+J11*2^3+N14*2^4+N13*2^5+N12*2^6+N11*2^7,2)</f>
        <v>00</v>
      </c>
      <c r="Y5" s="28" t="str">
        <f t="shared" si="3"/>
        <v>00</v>
      </c>
      <c r="Z5" s="28" t="str">
        <f>DEC2HEX(L14*2^0+L13*2^1+L12*2^2+L11*2^3+P14*2^4+P13*2^5+P12*2^6+P11*2^7,2)</f>
        <v>F0</v>
      </c>
      <c r="AA5" s="28" t="str">
        <f>DEC2HEX(M14*2^0+M13*2^1+M12*2^2+M11*2^3+Q14*2^4+Q13*2^5+Q12*2^6+Q11*2^7,2)</f>
        <v>F0</v>
      </c>
      <c r="AC5" t="s">
        <v>2</v>
      </c>
      <c r="AD5" t="s">
        <v>34</v>
      </c>
      <c r="AE5" t="s">
        <v>43</v>
      </c>
      <c r="AF5" t="s">
        <v>37</v>
      </c>
      <c r="AG5" t="s">
        <v>51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T6" s="28" t="str">
        <f t="shared" ref="T6:U6" si="4">DEC2HEX(B18*2^4+B17*2^5+B16*2^6+B15*2^7+F18*2^0+F17*2^1+F16*2^2+F15*2^3,2)</f>
        <v>01</v>
      </c>
      <c r="U6" s="28" t="str">
        <f t="shared" si="4"/>
        <v>C0</v>
      </c>
      <c r="V6" s="28" t="str">
        <f>DEC2HEX(D18*2^4+D17*2^5+D16*2^6+D15*2^7+H18*2^0+H17*2^1+H16*2^2+H15*2^3,2)</f>
        <v>F0</v>
      </c>
      <c r="W6" s="28" t="str">
        <f t="shared" ref="W6" si="5">DEC2HEX(E18*2^4+E17*2^5+E16*2^6+E15*2^7+I18*2^0+I17*2^1+I16*2^2+I15*2^3,2)</f>
        <v>70</v>
      </c>
      <c r="X6" s="28" t="str">
        <f t="shared" ref="X6:Y6" si="6">DEC2HEX(J18*2^4+J17*2^5+J16*2^6+J15*2^7+N18*2^0+N17*2^1+N16*2^2+N15*2^3,2)</f>
        <v>01</v>
      </c>
      <c r="Y6" s="28" t="str">
        <f t="shared" si="6"/>
        <v>07</v>
      </c>
      <c r="Z6" s="28" t="str">
        <f>DEC2HEX(L18*2^4+L17*2^5+L16*2^6+L15*2^7+P18*2^0+P17*2^1+P16*2^2+P15*2^3,2)</f>
        <v>0F</v>
      </c>
      <c r="AA6" s="28" t="str">
        <f>DEC2HEX(M18*2^4+M17*2^5+M16*2^6+M15*2^7+Q18*2^0+Q17*2^1+Q16*2^2+Q15*2^3,2)</f>
        <v>0C</v>
      </c>
      <c r="AC6" t="s">
        <v>30</v>
      </c>
      <c r="AD6" t="s">
        <v>79</v>
      </c>
      <c r="AE6" t="s">
        <v>48</v>
      </c>
      <c r="AF6" t="s">
        <v>37</v>
      </c>
      <c r="AG6" t="s">
        <v>36</v>
      </c>
      <c r="AH6" t="s">
        <v>83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1</v>
      </c>
      <c r="N7" s="10">
        <v>1</v>
      </c>
      <c r="O7" s="10">
        <v>1</v>
      </c>
      <c r="P7" s="10">
        <v>0</v>
      </c>
      <c r="Q7" s="10">
        <v>0</v>
      </c>
      <c r="T7" s="28" t="str">
        <f t="shared" ref="T7:U7" si="7">DEC2HEX(B22*2^0+B21*2^1+B20*2^2+B19*2^3+F22*2^4+F21*2^5+F20*2^6+F19*2^7,2)</f>
        <v>C0</v>
      </c>
      <c r="U7" s="28" t="str">
        <f t="shared" si="7"/>
        <v>C0</v>
      </c>
      <c r="V7" s="28" t="str">
        <f>DEC2HEX(D22*2^0+D21*2^1+D20*2^2+D19*2^3+H22*2^4+H21*2^5+H20*2^6+H19*2^7,2)</f>
        <v>60</v>
      </c>
      <c r="W7" s="28" t="str">
        <f t="shared" ref="W7" si="8">DEC2HEX(E22*2^0+E21*2^1+E20*2^2+E19*2^3+I22*2^4+I21*2^5+I20*2^6+I19*2^7,2)</f>
        <v>68</v>
      </c>
      <c r="X7" s="28" t="str">
        <f t="shared" ref="X7:Y7" si="9">DEC2HEX(J22*2^0+J21*2^1+J20*2^2+J19*2^3+N22*2^4+N21*2^5+N20*2^6+N19*2^7,2)</f>
        <v>C6</v>
      </c>
      <c r="Y7" s="28" t="str">
        <f t="shared" si="9"/>
        <v>86</v>
      </c>
      <c r="Z7" s="28" t="str">
        <f>DEC2HEX(L22*2^0+L21*2^1+L20*2^2+L19*2^3+P22*2^4+P21*2^5+P20*2^6+P19*2^7,2)</f>
        <v>06</v>
      </c>
      <c r="AA7" s="28" t="str">
        <f>DEC2HEX(M22*2^0+M21*2^1+M20*2^2+M19*2^3+Q22*2^4+Q21*2^5+Q20*2^6+Q19*2^7,2)</f>
        <v>0C</v>
      </c>
      <c r="AC7" t="s">
        <v>31</v>
      </c>
      <c r="AD7" t="s">
        <v>35</v>
      </c>
      <c r="AE7" t="s">
        <v>40</v>
      </c>
      <c r="AF7" t="s">
        <v>37</v>
      </c>
      <c r="AG7" t="s">
        <v>62</v>
      </c>
      <c r="AH7" t="s">
        <v>91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1</v>
      </c>
      <c r="O8" s="10">
        <v>1</v>
      </c>
      <c r="P8" s="10">
        <v>1</v>
      </c>
      <c r="Q8" s="10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35</v>
      </c>
      <c r="AE8" t="s">
        <v>62</v>
      </c>
      <c r="AF8" t="s">
        <v>43</v>
      </c>
      <c r="AG8" t="s">
        <v>40</v>
      </c>
      <c r="AH8" t="s">
        <v>47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1</v>
      </c>
      <c r="P9" s="10">
        <v>1</v>
      </c>
      <c r="Q9" s="10">
        <v>0</v>
      </c>
      <c r="AC9" t="s">
        <v>1</v>
      </c>
      <c r="AD9" t="s">
        <v>36</v>
      </c>
      <c r="AE9" t="s">
        <v>64</v>
      </c>
      <c r="AF9" t="s">
        <v>43</v>
      </c>
      <c r="AG9" t="s">
        <v>48</v>
      </c>
      <c r="AH9" t="s">
        <v>48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</v>
      </c>
      <c r="P10" s="10">
        <v>1</v>
      </c>
      <c r="Q10" s="10">
        <v>1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1</v>
      </c>
      <c r="Q11" s="10">
        <v>1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1</v>
      </c>
      <c r="Q12" s="10">
        <v>1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1</v>
      </c>
      <c r="Q13" s="10">
        <v>1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D2_O[8]={0x00,0x00,0x10,0x0C,0x00,0x01,0xC0,0x00};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1</v>
      </c>
      <c r="Q14" s="10">
        <v>1</v>
      </c>
      <c r="T14" t="str">
        <f t="shared" ref="T14:AA19" si="13">_xlfn.CONCAT("0x",T3)</f>
        <v>0x10</v>
      </c>
      <c r="U14" t="str">
        <f t="shared" si="13"/>
        <v>0x10</v>
      </c>
      <c r="V14" t="str">
        <f t="shared" si="13"/>
        <v>0x30</v>
      </c>
      <c r="W14" t="str">
        <f t="shared" si="13"/>
        <v>0x30</v>
      </c>
      <c r="X14" t="str">
        <f t="shared" si="13"/>
        <v>0x13</v>
      </c>
      <c r="Y14" t="str">
        <f t="shared" si="13"/>
        <v>0x03</v>
      </c>
      <c r="Z14" t="str">
        <f t="shared" si="13"/>
        <v>0x03</v>
      </c>
      <c r="AA14" t="str">
        <f t="shared" si="13"/>
        <v>0x01</v>
      </c>
      <c r="AC14" t="str">
        <f t="shared" ref="AC14:AC20" si="14">_xlfn.CONCAT("const uint8_t ",AC3,"_",$AB$1,"[8]={0x00,0x00,",AD3,",",AE3,",",AF3,",",AG3,",",AH3,",",AI3,"};")</f>
        <v>const uint8_t C2_O[8]={0x00,0x00,0x10,0x18,0x0F,0xC0,0xC0,0x00};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1</v>
      </c>
      <c r="Q15" s="10">
        <v>1</v>
      </c>
      <c r="T15" t="str">
        <f t="shared" si="13"/>
        <v>0x0C</v>
      </c>
      <c r="U15" t="str">
        <f t="shared" si="13"/>
        <v>0x18</v>
      </c>
      <c r="V15" t="str">
        <f t="shared" si="13"/>
        <v>0x70</v>
      </c>
      <c r="W15" t="str">
        <f t="shared" si="13"/>
        <v>0xF0</v>
      </c>
      <c r="X15" t="str">
        <f t="shared" si="13"/>
        <v>0x0C</v>
      </c>
      <c r="Y15" t="str">
        <f t="shared" si="13"/>
        <v>0x0F</v>
      </c>
      <c r="Z15" t="str">
        <f t="shared" si="13"/>
        <v>0x07</v>
      </c>
      <c r="AA15" t="str">
        <f t="shared" si="13"/>
        <v>0x81</v>
      </c>
      <c r="AC15" t="str">
        <f t="shared" si="14"/>
        <v>const uint8_t B2_O[8]={0x00,0x00,0x30,0x70,0x0F,0xF0,0x60,0x00};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1</v>
      </c>
      <c r="P16" s="10">
        <v>1</v>
      </c>
      <c r="Q16" s="10">
        <v>1</v>
      </c>
      <c r="T16" t="str">
        <f t="shared" si="13"/>
        <v>0x00</v>
      </c>
      <c r="U16" t="str">
        <f t="shared" si="13"/>
        <v>0x0F</v>
      </c>
      <c r="V16" t="str">
        <f t="shared" si="13"/>
        <v>0x0F</v>
      </c>
      <c r="W16" t="str">
        <f t="shared" si="13"/>
        <v>0x00</v>
      </c>
      <c r="X16" t="str">
        <f t="shared" si="13"/>
        <v>0x00</v>
      </c>
      <c r="Y16" t="str">
        <f t="shared" si="13"/>
        <v>0x00</v>
      </c>
      <c r="Z16" t="str">
        <f t="shared" si="13"/>
        <v>0xF0</v>
      </c>
      <c r="AA16" t="str">
        <f t="shared" si="13"/>
        <v>0xF0</v>
      </c>
      <c r="AC16" t="str">
        <f t="shared" si="14"/>
        <v>const uint8_t A2_O[8]={0x00,0x00,0x30,0xF0,0x00,0x70,0x68,0x00};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1</v>
      </c>
      <c r="P17" s="10">
        <v>1</v>
      </c>
      <c r="Q17" s="10">
        <v>0</v>
      </c>
      <c r="T17" t="str">
        <f t="shared" si="13"/>
        <v>0x01</v>
      </c>
      <c r="U17" t="str">
        <f t="shared" si="13"/>
        <v>0xC0</v>
      </c>
      <c r="V17" t="str">
        <f t="shared" si="13"/>
        <v>0xF0</v>
      </c>
      <c r="W17" t="str">
        <f t="shared" si="13"/>
        <v>0x70</v>
      </c>
      <c r="X17" t="str">
        <f t="shared" si="13"/>
        <v>0x01</v>
      </c>
      <c r="Y17" t="str">
        <f t="shared" si="13"/>
        <v>0x07</v>
      </c>
      <c r="Z17" t="str">
        <f t="shared" si="13"/>
        <v>0x0F</v>
      </c>
      <c r="AA17" t="str">
        <f t="shared" si="13"/>
        <v>0x0C</v>
      </c>
      <c r="AC17" t="str">
        <f t="shared" si="14"/>
        <v>const uint8_t D1_O[8]={0x00,0x00,0x13,0x0C,0x00,0x01,0xC6,0x00};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1</v>
      </c>
      <c r="O18" s="10">
        <v>1</v>
      </c>
      <c r="P18" s="10">
        <v>1</v>
      </c>
      <c r="Q18" s="10">
        <v>0</v>
      </c>
      <c r="T18" t="str">
        <f t="shared" si="13"/>
        <v>0xC0</v>
      </c>
      <c r="U18" t="str">
        <f t="shared" si="13"/>
        <v>0xC0</v>
      </c>
      <c r="V18" t="str">
        <f t="shared" si="13"/>
        <v>0x60</v>
      </c>
      <c r="W18" t="str">
        <f t="shared" si="13"/>
        <v>0x68</v>
      </c>
      <c r="X18" t="str">
        <f t="shared" si="13"/>
        <v>0xC6</v>
      </c>
      <c r="Y18" t="str">
        <f t="shared" si="13"/>
        <v>0x86</v>
      </c>
      <c r="Z18" t="str">
        <f t="shared" si="13"/>
        <v>0x06</v>
      </c>
      <c r="AA18" t="str">
        <f t="shared" si="13"/>
        <v>0x0C</v>
      </c>
      <c r="AC18" t="str">
        <f t="shared" si="14"/>
        <v>const uint8_t C1_O[8]={0x00,0x00,0x03,0x0F,0x00,0x07,0x86,0x00};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1</v>
      </c>
      <c r="N19" s="10">
        <v>1</v>
      </c>
      <c r="O19" s="10">
        <v>1</v>
      </c>
      <c r="P19" s="10">
        <v>0</v>
      </c>
      <c r="Q19" s="10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B1_O[8]={0x00,0x00,0x03,0x07,0xF0,0x0F,0x06,0x00};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1</v>
      </c>
      <c r="O20" s="10">
        <v>0</v>
      </c>
      <c r="P20" s="10">
        <v>0</v>
      </c>
      <c r="Q20" s="10">
        <v>0</v>
      </c>
      <c r="AC20" t="str">
        <f t="shared" si="14"/>
        <v>const uint8_t A1_O[8]={0x00,0x00,0x01,0x81,0xF0,0x0C,0x0C,0x00};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16" priority="1" operator="equal">
      <formula>2</formula>
    </cfRule>
    <cfRule type="cellIs" dxfId="115" priority="2" operator="equal">
      <formula>1</formula>
    </cfRule>
    <cfRule type="cellIs" dxfId="114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F32-CD14-4B57-85F6-A391F600189E}">
  <sheetPr codeName="Planilha30"/>
  <dimension ref="A1:AI30"/>
  <sheetViews>
    <sheetView workbookViewId="0">
      <selection activeCell="AB2" sqref="AB2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34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01</v>
      </c>
      <c r="Y3" t="str">
        <f>DEC2HEX(K6*2^0+K5*2^1+K4*2^2+K3*2^3+O6*2^4+O5*2^5+O4*2^6+O3*2^7,2)</f>
        <v>01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40</v>
      </c>
      <c r="AF3" t="s">
        <v>92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0C</v>
      </c>
      <c r="Y4" t="str">
        <f>DEC2HEX(K10*2^0+K9*2^1+K8*2^2+K7*2^3+O10*2^4+O9*2^5+O8*2^6+O7*2^7,2)</f>
        <v>0F</v>
      </c>
      <c r="Z4" t="str">
        <f>DEC2HEX(L10*2^0+L9*2^1+L8*2^2+L7*2^3+P10*2^4+P9*2^5+P8*2^6+P7*2^7,2)</f>
        <v>0F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40</v>
      </c>
      <c r="AF4" t="s">
        <v>92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30</v>
      </c>
      <c r="U5" t="str">
        <f>DEC2HEX(C14*2^0+C13*2^1+C12*2^2+C11*2^3+G14*2^4+G13*2^5+G12*2^6+G11*2^7,2)</f>
        <v>3F</v>
      </c>
      <c r="V5" t="str">
        <f>DEC2HEX(D14*2^0+D13*2^1+D12*2^2+D11*2^3+H14*2^4+H13*2^5+H12*2^6+H11*2^7,2)</f>
        <v>3F</v>
      </c>
      <c r="W5" t="str">
        <f>DEC2HEX(E14*2^0+E13*2^1+E12*2^2+E11*2^3+I14*2^4+I13*2^5+I12*2^6+I11*2^7,2)</f>
        <v>33</v>
      </c>
      <c r="X5" t="str">
        <f>DEC2HEX(J14*2^0+J13*2^1+J12*2^2+J11*2^3+N14*2^4+N13*2^5+N12*2^6+N11*2^7,2)</f>
        <v>0E</v>
      </c>
      <c r="Y5" t="str">
        <f>DEC2HEX(K14*2^0+K13*2^1+K12*2^2+K11*2^3+O14*2^4+O13*2^5+O12*2^6+O11*2^7,2)</f>
        <v>0E</v>
      </c>
      <c r="Z5" t="str">
        <f>DEC2HEX(L14*2^0+L13*2^1+L12*2^2+L11*2^3+P14*2^4+P13*2^5+P12*2^6+P11*2^7,2)</f>
        <v>08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60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36</v>
      </c>
      <c r="AE6" t="s">
        <v>48</v>
      </c>
      <c r="AF6" t="s">
        <v>42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36</v>
      </c>
      <c r="AE7" t="s">
        <v>40</v>
      </c>
      <c r="AF7" t="s">
        <v>42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40</v>
      </c>
      <c r="AF8" t="s">
        <v>41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P_D2[6]={0x30,0x00,0x30,0x00,0x00,0x00};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0x01</v>
      </c>
      <c r="Y14" t="str">
        <f t="shared" si="1"/>
        <v>0x01</v>
      </c>
      <c r="Z14" t="str">
        <f t="shared" si="1"/>
        <v>0x00</v>
      </c>
      <c r="AA14" t="str">
        <f t="shared" si="1"/>
        <v>0x00</v>
      </c>
      <c r="AC14" t="str">
        <f t="shared" si="0"/>
        <v>const uint8_t P_C2[6]={0x33,0x0F,0x3F,0x0F,0x0E,0x00};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0x0C</v>
      </c>
      <c r="Y15" t="str">
        <f t="shared" si="1"/>
        <v>0x0F</v>
      </c>
      <c r="Z15" t="str">
        <f t="shared" si="1"/>
        <v>0x0F</v>
      </c>
      <c r="AA15" t="str">
        <f t="shared" si="1"/>
        <v>0x00</v>
      </c>
      <c r="AC15" t="str">
        <f t="shared" si="0"/>
        <v>const uint8_t P_B2[6]={0x33,0x0F,0x3F,0x0F,0x0E,0x00};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0x30</v>
      </c>
      <c r="U16" t="str">
        <f t="shared" si="1"/>
        <v>0x3F</v>
      </c>
      <c r="V16" t="str">
        <f t="shared" si="1"/>
        <v>0x3F</v>
      </c>
      <c r="W16" t="str">
        <f t="shared" si="1"/>
        <v>0x33</v>
      </c>
      <c r="X16" t="str">
        <f t="shared" si="1"/>
        <v>0x0E</v>
      </c>
      <c r="Y16" t="str">
        <f t="shared" si="1"/>
        <v>0x0E</v>
      </c>
      <c r="Z16" t="str">
        <f t="shared" si="1"/>
        <v>0x08</v>
      </c>
      <c r="AA16" t="str">
        <f t="shared" si="1"/>
        <v>0x00</v>
      </c>
      <c r="AC16" t="str">
        <f t="shared" si="0"/>
        <v>const uint8_t P_A2[6]={0x33,0x00,0x33,0x00,0x00,0x00};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P_D1[6]={0x01,0x0C,0x0E,0x00,0x00,0x00};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P_C1[6]={0x01,0x0F,0x0E,0x00,0x00,0x00};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P_B1[6]={0x00,0x0F,0x08,0x00,0x00,0x00};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P_A1[6]={0x00,0x00,0x00,0x00,0x00,0x00};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13" priority="1" operator="equal">
      <formula>2</formula>
    </cfRule>
    <cfRule type="cellIs" dxfId="112" priority="2" operator="equal">
      <formula>1</formula>
    </cfRule>
    <cfRule type="cellIs" dxfId="111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C1A89-76E5-4DCE-A0E7-3F3662822D5A}">
  <sheetPr codeName="Planilha31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44</v>
      </c>
      <c r="AF2" t="s">
        <v>37</v>
      </c>
      <c r="AG2" t="s">
        <v>33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10</v>
      </c>
      <c r="U3" t="str">
        <f>DEC2HEX(C6*2^0+C5*2^1+C4*2^2+C3*2^3+G6*2^4+G5*2^5+G4*2^6+G3*2^7,2)</f>
        <v>10</v>
      </c>
      <c r="V3" t="str">
        <f>DEC2HEX(D6*2^0+D5*2^1+D4*2^2+D3*2^3+H6*2^4+H5*2^5+H4*2^6+H3*2^7,2)</f>
        <v>30</v>
      </c>
      <c r="W3" t="str">
        <f>DEC2HEX(E6*2^0+E5*2^1+E4*2^2+E3*2^3+I6*2^4+I5*2^5+I4*2^6+I3*2^7,2)</f>
        <v>30</v>
      </c>
      <c r="X3" t="str">
        <f>DEC2HEX(J6*2^0+J5*2^1+J4*2^2+J3*2^3+N6*2^4+N5*2^5+N4*2^6+N3*2^7,2)</f>
        <v>13</v>
      </c>
      <c r="Y3" t="str">
        <f>DEC2HEX(K6*2^0+K5*2^1+K4*2^2+K3*2^3+O6*2^4+O5*2^5+O4*2^6+O3*2^7,2)</f>
        <v>03</v>
      </c>
      <c r="Z3" t="str">
        <f>DEC2HEX(L6*2^0+L5*2^1+L4*2^2+L3*2^3+P6*2^4+P5*2^5+P4*2^6+P3*2^7,2)</f>
        <v>03</v>
      </c>
      <c r="AA3" t="str">
        <f>DEC2HEX(M6*2^0+M5*2^1+M4*2^2+M3*2^3+Q6*2^4+Q5*2^5+Q4*2^6+Q3*2^7,2)</f>
        <v>01</v>
      </c>
      <c r="AC3" t="s">
        <v>28</v>
      </c>
      <c r="AD3" t="s">
        <v>33</v>
      </c>
      <c r="AE3" t="s">
        <v>64</v>
      </c>
      <c r="AF3" t="s">
        <v>40</v>
      </c>
      <c r="AG3" t="s">
        <v>48</v>
      </c>
      <c r="AH3" t="s">
        <v>44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C0</v>
      </c>
      <c r="U4" t="str">
        <f>DEC2HEX(C10*2^0+C9*2^1+C8*2^2+C7*2^3+G10*2^4+G9*2^5+G8*2^6+G7*2^7,2)</f>
        <v>81</v>
      </c>
      <c r="V4" t="str">
        <f>DEC2HEX(D10*2^0+D9*2^1+D8*2^2+D7*2^3+H10*2^4+H9*2^5+H8*2^6+H7*2^7,2)</f>
        <v>07</v>
      </c>
      <c r="W4" t="str">
        <f>DEC2HEX(E10*2^0+E9*2^1+E8*2^2+E7*2^3+I10*2^4+I9*2^5+I8*2^6+I7*2^7,2)</f>
        <v>0F</v>
      </c>
      <c r="X4" t="str">
        <f>DEC2HEX(J10*2^0+J9*2^1+J8*2^2+J7*2^3+N10*2^4+N9*2^5+N8*2^6+N7*2^7,2)</f>
        <v>C0</v>
      </c>
      <c r="Y4" t="str">
        <f>DEC2HEX(K10*2^0+K9*2^1+K8*2^2+K7*2^3+O10*2^4+O9*2^5+O8*2^6+O7*2^7,2)</f>
        <v>F0</v>
      </c>
      <c r="Z4" t="str">
        <f>DEC2HEX(L10*2^0+L9*2^1+L8*2^2+L7*2^3+P10*2^4+P9*2^5+P8*2^6+P7*2^7,2)</f>
        <v>70</v>
      </c>
      <c r="AA4" t="str">
        <f>DEC2HEX(M10*2^0+M9*2^1+M8*2^2+M7*2^3+Q10*2^4+Q9*2^5+Q8*2^6+Q7*2^7,2)</f>
        <v>18</v>
      </c>
      <c r="AC4" t="s">
        <v>29</v>
      </c>
      <c r="AD4" t="s">
        <v>34</v>
      </c>
      <c r="AE4" t="s">
        <v>62</v>
      </c>
      <c r="AF4" t="s">
        <v>40</v>
      </c>
      <c r="AG4" t="s">
        <v>40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F0</v>
      </c>
      <c r="AA5" t="str">
        <f>DEC2HEX(M14*2^0+M13*2^1+M12*2^2+M11*2^3+Q14*2^4+Q13*2^5+Q12*2^6+Q11*2^7,2)</f>
        <v>F0</v>
      </c>
      <c r="AC5" t="s">
        <v>2</v>
      </c>
      <c r="AD5" t="s">
        <v>34</v>
      </c>
      <c r="AE5" t="s">
        <v>40</v>
      </c>
      <c r="AF5" t="s">
        <v>37</v>
      </c>
      <c r="AG5" t="s">
        <v>62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10</v>
      </c>
      <c r="U6" t="str">
        <f>DEC2HEX(C18*2^0+C17*2^1+C16*2^2+C15*2^3+G18*2^4+G17*2^5+G16*2^6+G15*2^7,2)</f>
        <v>0C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07</v>
      </c>
      <c r="X6" t="str">
        <f>DEC2HEX(J18*2^0+J17*2^1+J16*2^2+J15*2^3+N18*2^4+N17*2^5+N16*2^6+N15*2^7,2)</f>
        <v>10</v>
      </c>
      <c r="Y6" t="str">
        <f>DEC2HEX(K18*2^0+K17*2^1+K16*2^2+K15*2^3+O18*2^4+O17*2^5+O16*2^6+O15*2^7,2)</f>
        <v>70</v>
      </c>
      <c r="Z6" t="str">
        <f>DEC2HEX(L18*2^0+L17*2^1+L16*2^2+L15*2^3+P18*2^4+P17*2^5+P16*2^6+P15*2^7,2)</f>
        <v>F0</v>
      </c>
      <c r="AA6" t="str">
        <f>DEC2HEX(M18*2^0+M17*2^1+M16*2^2+M15*2^3+Q18*2^4+Q17*2^5+Q16*2^6+Q15*2^7,2)</f>
        <v>C0</v>
      </c>
      <c r="AC6" t="s">
        <v>30</v>
      </c>
      <c r="AD6" t="s">
        <v>79</v>
      </c>
      <c r="AE6" t="s">
        <v>44</v>
      </c>
      <c r="AF6" t="s">
        <v>37</v>
      </c>
      <c r="AG6" t="s">
        <v>33</v>
      </c>
      <c r="AH6" t="s">
        <v>83</v>
      </c>
      <c r="AI6" t="s">
        <v>38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1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1</v>
      </c>
      <c r="N7" s="10">
        <v>1</v>
      </c>
      <c r="O7" s="10">
        <v>1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C0</v>
      </c>
      <c r="U7" t="str">
        <f>DEC2HEX(C22*2^0+C21*2^1+C20*2^2+C19*2^3+G22*2^4+G21*2^5+G20*2^6+G19*2^7,2)</f>
        <v>C0</v>
      </c>
      <c r="V7" t="str">
        <f>DEC2HEX(D22*2^0+D21*2^1+D20*2^2+D19*2^3+H22*2^4+H21*2^5+H20*2^6+H19*2^7,2)</f>
        <v>60</v>
      </c>
      <c r="W7" t="str">
        <f>DEC2HEX(E22*2^0+E21*2^1+E20*2^2+E19*2^3+I22*2^4+I21*2^5+I20*2^6+I19*2^7,2)</f>
        <v>68</v>
      </c>
      <c r="X7" t="str">
        <f>DEC2HEX(J22*2^0+J21*2^1+J20*2^2+J19*2^3+N22*2^4+N21*2^5+N20*2^6+N19*2^7,2)</f>
        <v>C6</v>
      </c>
      <c r="Y7" t="str">
        <f>DEC2HEX(K22*2^0+K21*2^1+K20*2^2+K19*2^3+O22*2^4+O21*2^5+O20*2^6+O19*2^7,2)</f>
        <v>86</v>
      </c>
      <c r="Z7" t="str">
        <f>DEC2HEX(L22*2^0+L21*2^1+L20*2^2+L19*2^3+P22*2^4+P21*2^5+P20*2^6+P19*2^7,2)</f>
        <v>07</v>
      </c>
      <c r="AA7" t="str">
        <f>DEC2HEX(M22*2^0+M21*2^1+M20*2^2+M19*2^3+Q22*2^4+Q21*2^5+Q20*2^6+Q19*2^7,2)</f>
        <v>0F</v>
      </c>
      <c r="AC7" t="s">
        <v>31</v>
      </c>
      <c r="AD7" t="s">
        <v>35</v>
      </c>
      <c r="AE7" t="s">
        <v>43</v>
      </c>
      <c r="AF7" t="s">
        <v>37</v>
      </c>
      <c r="AG7" t="s">
        <v>51</v>
      </c>
      <c r="AH7" t="s">
        <v>91</v>
      </c>
      <c r="AI7" t="s">
        <v>45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1</v>
      </c>
      <c r="O8" s="10">
        <v>1</v>
      </c>
      <c r="P8" s="10">
        <v>1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E0</v>
      </c>
      <c r="Y8" t="str">
        <f>DEC2HEX(K26*2^0+K25*2^1+K24*2^2+K23*2^3+O26*2^4+O25*2^5+O24*2^6+O23*2^7,2)</f>
        <v>60</v>
      </c>
      <c r="Z8" t="str">
        <f>DEC2HEX(L26*2^0+L25*2^1+L24*2^2+L23*2^3+P26*2^4+P25*2^5+P24*2^6+P23*2^7,2)</f>
        <v>20</v>
      </c>
      <c r="AA8" t="str">
        <f>DEC2HEX(M26*2^0+M25*2^1+M24*2^2+M23*2^3+Q26*2^4+Q25*2^5+Q24*2^6+Q23*2^7,2)</f>
        <v>0C</v>
      </c>
      <c r="AC8" t="s">
        <v>32</v>
      </c>
      <c r="AD8" t="s">
        <v>35</v>
      </c>
      <c r="AE8" t="s">
        <v>51</v>
      </c>
      <c r="AF8" t="s">
        <v>43</v>
      </c>
      <c r="AG8" t="s">
        <v>43</v>
      </c>
      <c r="AH8" t="s">
        <v>62</v>
      </c>
      <c r="AI8" t="s">
        <v>88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1</v>
      </c>
      <c r="P9" s="10">
        <v>1</v>
      </c>
      <c r="Q9" s="10">
        <v>0</v>
      </c>
      <c r="R9">
        <v>0</v>
      </c>
      <c r="AC9" t="s">
        <v>1</v>
      </c>
      <c r="AD9" t="s">
        <v>36</v>
      </c>
      <c r="AE9" t="s">
        <v>81</v>
      </c>
      <c r="AF9" t="s">
        <v>43</v>
      </c>
      <c r="AG9" t="s">
        <v>44</v>
      </c>
      <c r="AH9" t="s">
        <v>40</v>
      </c>
      <c r="AI9" t="s">
        <v>48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1</v>
      </c>
      <c r="P10" s="10">
        <v>1</v>
      </c>
      <c r="Q10" s="10">
        <v>1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1</v>
      </c>
      <c r="Q11" s="10">
        <v>1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1</v>
      </c>
      <c r="Q12" s="10">
        <v>1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1</v>
      </c>
      <c r="Q13" s="10">
        <v>1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Q_D2[6]={0x10,0xC0,0x00,0x10,0xC0,0x00};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1</v>
      </c>
      <c r="Q14" s="10">
        <v>1</v>
      </c>
      <c r="R14">
        <v>0</v>
      </c>
      <c r="T14" t="str">
        <f t="shared" ref="T14:AA19" si="1">_xlfn.CONCAT("0x",T3)</f>
        <v>0x10</v>
      </c>
      <c r="U14" t="str">
        <f t="shared" si="1"/>
        <v>0x10</v>
      </c>
      <c r="V14" t="str">
        <f t="shared" si="1"/>
        <v>0x30</v>
      </c>
      <c r="W14" t="str">
        <f t="shared" si="1"/>
        <v>0x30</v>
      </c>
      <c r="X14" t="str">
        <f t="shared" si="1"/>
        <v>0x13</v>
      </c>
      <c r="Y14" t="str">
        <f t="shared" si="1"/>
        <v>0x03</v>
      </c>
      <c r="Z14" t="str">
        <f t="shared" si="1"/>
        <v>0x03</v>
      </c>
      <c r="AA14" t="str">
        <f t="shared" si="1"/>
        <v>0x01</v>
      </c>
      <c r="AC14" t="str">
        <f t="shared" si="0"/>
        <v>const uint8_t Q_C2[6]={0x10,0x81,0x0F,0x0C,0xC0,0x00};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1</v>
      </c>
      <c r="Q15" s="10">
        <v>1</v>
      </c>
      <c r="R15">
        <v>0</v>
      </c>
      <c r="T15" t="str">
        <f t="shared" si="1"/>
        <v>0xC0</v>
      </c>
      <c r="U15" t="str">
        <f t="shared" si="1"/>
        <v>0x81</v>
      </c>
      <c r="V15" t="str">
        <f t="shared" si="1"/>
        <v>0x07</v>
      </c>
      <c r="W15" t="str">
        <f t="shared" si="1"/>
        <v>0x0F</v>
      </c>
      <c r="X15" t="str">
        <f t="shared" si="1"/>
        <v>0xC0</v>
      </c>
      <c r="Y15" t="str">
        <f t="shared" si="1"/>
        <v>0xF0</v>
      </c>
      <c r="Z15" t="str">
        <f t="shared" si="1"/>
        <v>0x70</v>
      </c>
      <c r="AA15" t="str">
        <f t="shared" si="1"/>
        <v>0x18</v>
      </c>
      <c r="AC15" t="str">
        <f t="shared" si="0"/>
        <v>const uint8_t Q_B2[6]={0x30,0x07,0x0F,0x0F,0x60,0x00};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1</v>
      </c>
      <c r="P16" s="10">
        <v>1</v>
      </c>
      <c r="Q16" s="10">
        <v>1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0xF0</v>
      </c>
      <c r="AA16" t="str">
        <f t="shared" si="1"/>
        <v>0xF0</v>
      </c>
      <c r="AC16" t="str">
        <f t="shared" si="0"/>
        <v>const uint8_t Q_A2[6]={0x30,0x0F,0x00,0x07,0x68,0x00};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1</v>
      </c>
      <c r="E17" s="10">
        <v>1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1</v>
      </c>
      <c r="P17" s="10">
        <v>1</v>
      </c>
      <c r="Q17" s="10">
        <v>0</v>
      </c>
      <c r="R17">
        <v>0</v>
      </c>
      <c r="T17" t="str">
        <f t="shared" si="1"/>
        <v>0x10</v>
      </c>
      <c r="U17" t="str">
        <f t="shared" si="1"/>
        <v>0x0C</v>
      </c>
      <c r="V17" t="str">
        <f t="shared" si="1"/>
        <v>0x0F</v>
      </c>
      <c r="W17" t="str">
        <f t="shared" si="1"/>
        <v>0x07</v>
      </c>
      <c r="X17" t="str">
        <f t="shared" si="1"/>
        <v>0x10</v>
      </c>
      <c r="Y17" t="str">
        <f t="shared" si="1"/>
        <v>0x70</v>
      </c>
      <c r="Z17" t="str">
        <f t="shared" si="1"/>
        <v>0xF0</v>
      </c>
      <c r="AA17" t="str">
        <f t="shared" si="1"/>
        <v>0xC0</v>
      </c>
      <c r="AC17" t="str">
        <f t="shared" si="0"/>
        <v>const uint8_t Q_D1[6]={0x13,0xC0,0x00,0x10,0xC6,0xE0};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1</v>
      </c>
      <c r="O18" s="10">
        <v>1</v>
      </c>
      <c r="P18" s="10">
        <v>1</v>
      </c>
      <c r="Q18" s="10">
        <v>0</v>
      </c>
      <c r="R18">
        <v>0</v>
      </c>
      <c r="T18" t="str">
        <f t="shared" si="1"/>
        <v>0xC0</v>
      </c>
      <c r="U18" t="str">
        <f t="shared" si="1"/>
        <v>0xC0</v>
      </c>
      <c r="V18" t="str">
        <f t="shared" si="1"/>
        <v>0x60</v>
      </c>
      <c r="W18" t="str">
        <f t="shared" si="1"/>
        <v>0x68</v>
      </c>
      <c r="X18" t="str">
        <f t="shared" si="1"/>
        <v>0xC6</v>
      </c>
      <c r="Y18" t="str">
        <f t="shared" si="1"/>
        <v>0x86</v>
      </c>
      <c r="Z18" t="str">
        <f t="shared" si="1"/>
        <v>0x07</v>
      </c>
      <c r="AA18" t="str">
        <f t="shared" si="1"/>
        <v>0x0F</v>
      </c>
      <c r="AC18" t="str">
        <f t="shared" si="0"/>
        <v>const uint8_t Q_C1[6]={0x03,0xF0,0x00,0x70,0x86,0x60};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1</v>
      </c>
      <c r="N19" s="10">
        <v>1</v>
      </c>
      <c r="O19" s="10">
        <v>1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0xE0</v>
      </c>
      <c r="Y19" t="str">
        <f t="shared" si="1"/>
        <v>0x60</v>
      </c>
      <c r="Z19" t="str">
        <f t="shared" si="1"/>
        <v>0x20</v>
      </c>
      <c r="AA19" t="str">
        <f t="shared" si="1"/>
        <v>0x0C</v>
      </c>
      <c r="AC19" t="str">
        <f t="shared" si="0"/>
        <v>const uint8_t Q_B1[6]={0x03,0x70,0xF0,0xF0,0x07,0x20};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1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Q_A1[6]={0x01,0x18,0xF0,0xC0,0x0F,0x0C};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1</v>
      </c>
      <c r="M22" s="10">
        <v>1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1</v>
      </c>
      <c r="N23" s="10">
        <v>1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1</v>
      </c>
      <c r="N24" s="10">
        <v>1</v>
      </c>
      <c r="O24" s="10">
        <v>1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1</v>
      </c>
      <c r="O25" s="10">
        <v>1</v>
      </c>
      <c r="P25" s="10">
        <v>1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10" priority="1" operator="equal">
      <formula>2</formula>
    </cfRule>
    <cfRule type="cellIs" dxfId="109" priority="2" operator="equal">
      <formula>1</formula>
    </cfRule>
    <cfRule type="cellIs" dxfId="108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BF86-8A81-475C-8C4E-9EB9D7D7CE1C}">
  <sheetPr codeName="Planilha32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34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01</v>
      </c>
      <c r="Y3" t="str">
        <f>DEC2HEX(K6*2^0+K5*2^1+K4*2^2+K3*2^3+O6*2^4+O5*2^5+O4*2^6+O3*2^7,2)</f>
        <v>01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40</v>
      </c>
      <c r="AF3" t="s">
        <v>92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0C</v>
      </c>
      <c r="Y4" t="str">
        <f>DEC2HEX(K10*2^0+K9*2^1+K8*2^2+K7*2^3+O10*2^4+O9*2^5+O8*2^6+O7*2^7,2)</f>
        <v>0F</v>
      </c>
      <c r="Z4" t="str">
        <f>DEC2HEX(L10*2^0+L9*2^1+L8*2^2+L7*2^3+P10*2^4+P9*2^5+P8*2^6+P7*2^7,2)</f>
        <v>0F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40</v>
      </c>
      <c r="AF4" t="s">
        <v>92</v>
      </c>
      <c r="AG4" t="s">
        <v>71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30</v>
      </c>
      <c r="U5" t="str">
        <f>DEC2HEX(C14*2^0+C13*2^1+C12*2^2+C11*2^3+G14*2^4+G13*2^5+G12*2^6+G11*2^7,2)</f>
        <v>3F</v>
      </c>
      <c r="V5" t="str">
        <f>DEC2HEX(D14*2^0+D13*2^1+D12*2^2+D11*2^3+H14*2^4+H13*2^5+H12*2^6+H11*2^7,2)</f>
        <v>3F</v>
      </c>
      <c r="W5" t="str">
        <f>DEC2HEX(E14*2^0+E13*2^1+E12*2^2+E11*2^3+I14*2^4+I13*2^5+I12*2^6+I11*2^7,2)</f>
        <v>33</v>
      </c>
      <c r="X5" t="str">
        <f>DEC2HEX(J14*2^0+J13*2^1+J12*2^2+J11*2^3+N14*2^4+N13*2^5+N12*2^6+N11*2^7,2)</f>
        <v>0E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08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60</v>
      </c>
      <c r="AG5" t="s">
        <v>38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8F</v>
      </c>
      <c r="W6" t="str">
        <f>DEC2HEX(E18*2^0+E17*2^1+E16*2^2+E15*2^3+I18*2^4+I17*2^5+I16*2^6+I15*2^7,2)</f>
        <v>E0</v>
      </c>
      <c r="X6" t="str">
        <f>DEC2HEX(J18*2^0+J17*2^1+J16*2^2+J15*2^3+N18*2^4+N17*2^5+N16*2^6+N15*2^7,2)</f>
        <v>07</v>
      </c>
      <c r="Y6" t="str">
        <f>DEC2HEX(K18*2^0+K17*2^1+K16*2^2+K15*2^3+O18*2^4+O17*2^5+O16*2^6+O15*2^7,2)</f>
        <v>03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36</v>
      </c>
      <c r="AE6" t="s">
        <v>48</v>
      </c>
      <c r="AF6" t="s">
        <v>42</v>
      </c>
      <c r="AG6" t="s">
        <v>62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0C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02</v>
      </c>
      <c r="AC7" t="s">
        <v>31</v>
      </c>
      <c r="AD7" t="s">
        <v>36</v>
      </c>
      <c r="AE7" t="s">
        <v>40</v>
      </c>
      <c r="AF7" t="s">
        <v>48</v>
      </c>
      <c r="AG7" t="s">
        <v>35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40</v>
      </c>
      <c r="AF8" t="s">
        <v>41</v>
      </c>
      <c r="AG8" t="s">
        <v>37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49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R_D2[6]={0x30,0x00,0x30,0x00,0x00,0x00};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0x01</v>
      </c>
      <c r="Y14" t="str">
        <f t="shared" si="1"/>
        <v>0x01</v>
      </c>
      <c r="Z14" t="str">
        <f t="shared" si="1"/>
        <v>0x00</v>
      </c>
      <c r="AA14" t="str">
        <f t="shared" si="1"/>
        <v>0x00</v>
      </c>
      <c r="AC14" t="str">
        <f t="shared" si="0"/>
        <v>const uint8_t R_C2[6]={0x33,0x0F,0x3F,0x0F,0x0E,0x00};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0x0C</v>
      </c>
      <c r="Y15" t="str">
        <f t="shared" si="1"/>
        <v>0x0F</v>
      </c>
      <c r="Z15" t="str">
        <f t="shared" si="1"/>
        <v>0x0F</v>
      </c>
      <c r="AA15" t="str">
        <f t="shared" si="1"/>
        <v>0x00</v>
      </c>
      <c r="AC15" t="str">
        <f t="shared" si="0"/>
        <v>const uint8_t R_B2[6]={0x33,0x0F,0x3F,0x8F,0x0E,0x00};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0x30</v>
      </c>
      <c r="U16" t="str">
        <f t="shared" si="1"/>
        <v>0x3F</v>
      </c>
      <c r="V16" t="str">
        <f t="shared" si="1"/>
        <v>0x3F</v>
      </c>
      <c r="W16" t="str">
        <f t="shared" si="1"/>
        <v>0x33</v>
      </c>
      <c r="X16" t="str">
        <f t="shared" si="1"/>
        <v>0x0E</v>
      </c>
      <c r="Y16" t="str">
        <f t="shared" si="1"/>
        <v>0x0C</v>
      </c>
      <c r="Z16" t="str">
        <f t="shared" si="1"/>
        <v>0x08</v>
      </c>
      <c r="AA16" t="str">
        <f t="shared" si="1"/>
        <v>0x00</v>
      </c>
      <c r="AC16" t="str">
        <f t="shared" si="0"/>
        <v>const uint8_t R_A2[6]={0x33,0x00,0x33,0xE0,0x00,0x00};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1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0x8F</v>
      </c>
      <c r="W17" t="str">
        <f t="shared" si="1"/>
        <v>0xE0</v>
      </c>
      <c r="X17" t="str">
        <f t="shared" si="1"/>
        <v>0x07</v>
      </c>
      <c r="Y17" t="str">
        <f t="shared" si="1"/>
        <v>0x03</v>
      </c>
      <c r="Z17" t="str">
        <f t="shared" si="1"/>
        <v>0x00</v>
      </c>
      <c r="AA17" t="str">
        <f t="shared" si="1"/>
        <v>0x00</v>
      </c>
      <c r="AC17" t="str">
        <f t="shared" si="0"/>
        <v>const uint8_t R_D1[6]={0x01,0x0C,0x0E,0x07,0x00,0x00};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0x0C</v>
      </c>
      <c r="Z18" t="str">
        <f t="shared" si="1"/>
        <v>0x0E</v>
      </c>
      <c r="AA18" t="str">
        <f t="shared" si="1"/>
        <v>0x02</v>
      </c>
      <c r="AC18" t="str">
        <f t="shared" si="0"/>
        <v>const uint8_t R_C1[6]={0x01,0x0F,0x0C,0x03,0x0C,0x00};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R_B1[6]={0x00,0x0F,0x08,0x00,0x0E,0x00};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R_A1[6]={0x00,0x00,0x00,0x00,0x02,0x00};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07" priority="1" operator="equal">
      <formula>2</formula>
    </cfRule>
    <cfRule type="cellIs" dxfId="106" priority="2" operator="equal">
      <formula>1</formula>
    </cfRule>
    <cfRule type="cellIs" dxfId="105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45DBC-D08F-4F96-A3DB-0819D2DBCD61}">
  <sheetPr codeName="Planilha33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45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s="28" t="str">
        <f>DEC2HEX(B6*2^0+B5*2^1+B4*2^2+B3*2^3+F6*2^4+F5*2^5+F4*2^6+F3*2^7,2)</f>
        <v>30</v>
      </c>
      <c r="U3" s="28" t="str">
        <f>DEC2HEX(C6*2^0+C5*2^1+C4*2^2+C3*2^3+G6*2^4+G5*2^5+G4*2^6+G3*2^7,2)</f>
        <v>30</v>
      </c>
      <c r="V3" s="28" t="str">
        <f>DEC2HEX(D6*2^0+D5*2^1+D4*2^2+D3*2^3+H6*2^4+H5*2^5+H4*2^6+H3*2^7,2)</f>
        <v>31</v>
      </c>
      <c r="W3" s="28" t="str">
        <f>DEC2HEX(E6*2^0+E5*2^1+E4*2^2+E3*2^3+I6*2^4+I5*2^5+I4*2^6+I3*2^7,2)</f>
        <v>31</v>
      </c>
      <c r="X3" s="28" t="str">
        <f>DEC2HEX(J6*2^0+J5*2^1+J4*2^2+J3*2^3+N6*2^4+N5*2^5+N4*2^6+N3*2^7,2)</f>
        <v>03</v>
      </c>
      <c r="Y3" s="28" t="str">
        <f t="shared" ref="Y3" si="0">DEC2HEX(K6*2^0+K5*2^1+K4*2^2+K3*2^3+O6*2^4+O5*2^5+O4*2^6+O3*2^7,2)</f>
        <v>03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34</v>
      </c>
      <c r="AE3" t="s">
        <v>43</v>
      </c>
      <c r="AF3" t="s">
        <v>46</v>
      </c>
      <c r="AG3" t="s">
        <v>37</v>
      </c>
      <c r="AH3" t="s">
        <v>55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F0</v>
      </c>
      <c r="V4" s="28" t="str">
        <f>DEC2HEX(D10*2^4+D9*2^5+D8*2^6+D7*2^7+H10*2^0+H9*2^1+H8*2^2+H7*2^3,2)</f>
        <v>F0</v>
      </c>
      <c r="W4" s="28" t="str">
        <f>DEC2HEX(E10*2^4+E9*2^5+E8*2^6+E7*2^7+I10*2^0+I9*2^1+I8*2^2+I7*2^3,2)</f>
        <v>80</v>
      </c>
      <c r="X4" s="28" t="str">
        <f>DEC2HEX(J10*2^4+J9*2^5+J8*2^6+J7*2^7+N10*2^0+N9*2^1+N8*2^2+N7*2^3,2)</f>
        <v>00</v>
      </c>
      <c r="Y4" s="28" t="str">
        <f>DEC2HEX(K10*2^4+K9*2^5+K8*2^6+K7*2^7+O10*2^0+O9*2^1+O8*2^2+O7*2^3,2)</f>
        <v>80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53</v>
      </c>
      <c r="AE4" t="s">
        <v>43</v>
      </c>
      <c r="AF4" t="s">
        <v>77</v>
      </c>
      <c r="AG4" t="s">
        <v>37</v>
      </c>
      <c r="AH4" t="s">
        <v>52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s="28" t="str">
        <f t="shared" ref="T5:U5" si="1">DEC2HEX(B14*2^0+B13*2^1+B12*2^2+B11*2^3+F14*2^4+F13*2^5+F12*2^6+F11*2^7,2)</f>
        <v>60</v>
      </c>
      <c r="U5" s="28" t="str">
        <f t="shared" si="1"/>
        <v>68</v>
      </c>
      <c r="V5" s="28" t="str">
        <f>DEC2HEX(D14*2^0+D13*2^1+D12*2^2+D11*2^3+H14*2^4+H13*2^5+H12*2^6+H11*2^7,2)</f>
        <v>3C</v>
      </c>
      <c r="W5" s="28" t="str">
        <f t="shared" ref="W5" si="2">DEC2HEX(E14*2^0+E13*2^1+E12*2^2+E11*2^3+I14*2^4+I13*2^5+I12*2^6+I11*2^7,2)</f>
        <v>3C</v>
      </c>
      <c r="X5" s="28" t="str">
        <f t="shared" ref="X5:Y5" si="3">DEC2HEX(J14*2^0+J13*2^1+J12*2^2+J11*2^3+N14*2^4+N13*2^5+N12*2^6+N11*2^7,2)</f>
        <v>03</v>
      </c>
      <c r="Y5" s="28" t="str">
        <f t="shared" si="3"/>
        <v>01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53</v>
      </c>
      <c r="AE5" t="s">
        <v>39</v>
      </c>
      <c r="AF5" t="s">
        <v>77</v>
      </c>
      <c r="AG5" t="s">
        <v>37</v>
      </c>
      <c r="AH5" t="s">
        <v>52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s="28" t="str">
        <f t="shared" ref="T6:U6" si="4">DEC2HEX(B18*2^4+B17*2^5+B16*2^6+B15*2^7+F18*2^0+F17*2^1+F16*2^2+F15*2^3,2)</f>
        <v>00</v>
      </c>
      <c r="U6" s="28" t="str">
        <f t="shared" si="4"/>
        <v>00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80</v>
      </c>
      <c r="Y6" s="28" t="str">
        <f t="shared" si="6"/>
        <v>F0</v>
      </c>
      <c r="Z6" s="28" t="str">
        <f>DEC2HEX(L18*2^4+L17*2^5+L16*2^6+L15*2^7+P18*2^0+P17*2^1+P16*2^2+P15*2^3,2)</f>
        <v>F0</v>
      </c>
      <c r="AA6" s="28" t="str">
        <f>DEC2HEX(M18*2^4+M17*2^5+M16*2^6+M15*2^7+Q18*2^0+Q17*2^1+Q16*2^2+Q15*2^3,2)</f>
        <v>00</v>
      </c>
      <c r="AC6" t="s">
        <v>30</v>
      </c>
      <c r="AD6" t="s">
        <v>35</v>
      </c>
      <c r="AE6" t="s">
        <v>37</v>
      </c>
      <c r="AF6" t="s">
        <v>35</v>
      </c>
      <c r="AG6" t="s">
        <v>39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6C</v>
      </c>
      <c r="V7" s="28" t="str">
        <f>DEC2HEX(D22*2^0+D21*2^1+D20*2^2+D19*2^3+H22*2^4+H21*2^5+H20*2^6+H19*2^7,2)</f>
        <v>66</v>
      </c>
      <c r="W7" s="28" t="str">
        <f t="shared" ref="W7" si="8">DEC2HEX(E22*2^0+E21*2^1+E20*2^2+E19*2^3+I22*2^4+I21*2^5+I20*2^6+I19*2^7,2)</f>
        <v>66</v>
      </c>
      <c r="X7" s="28" t="str">
        <f t="shared" ref="X7:Y7" si="9">DEC2HEX(J22*2^0+J21*2^1+J20*2^2+J19*2^3+N22*2^4+N21*2^5+N20*2^6+N19*2^7,2)</f>
        <v>0C</v>
      </c>
      <c r="Y7" s="28" t="str">
        <f t="shared" si="9"/>
        <v>0C</v>
      </c>
      <c r="Z7" s="28" t="str">
        <f>DEC2HEX(L22*2^0+L21*2^1+L20*2^2+L19*2^3+P22*2^4+P21*2^5+P20*2^6+P19*2^7,2)</f>
        <v>08</v>
      </c>
      <c r="AA7" s="28" t="str">
        <f>DEC2HEX(M22*2^0+M21*2^1+M20*2^2+M19*2^3+Q22*2^4+Q21*2^5+Q20*2^6+Q19*2^7,2)</f>
        <v>00</v>
      </c>
      <c r="AC7" t="s">
        <v>31</v>
      </c>
      <c r="AD7" t="s">
        <v>35</v>
      </c>
      <c r="AE7" t="s">
        <v>39</v>
      </c>
      <c r="AF7" t="s">
        <v>36</v>
      </c>
      <c r="AG7" t="s">
        <v>43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43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1</v>
      </c>
      <c r="G12" s="10">
        <v>1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D2_S[8]={0x00,0x00,0x30,0x00,0x60,0x00,0x60,0x00};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1</v>
      </c>
      <c r="I14" s="10">
        <v>1</v>
      </c>
      <c r="J14" s="10">
        <v>1</v>
      </c>
      <c r="K14" s="10">
        <v>1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3">_xlfn.CONCAT("0x",T3)</f>
        <v>0x30</v>
      </c>
      <c r="U14" t="str">
        <f t="shared" si="13"/>
        <v>0x30</v>
      </c>
      <c r="V14" t="str">
        <f t="shared" si="13"/>
        <v>0x31</v>
      </c>
      <c r="W14" t="str">
        <f t="shared" si="13"/>
        <v>0x31</v>
      </c>
      <c r="X14" t="str">
        <f t="shared" si="13"/>
        <v>0x03</v>
      </c>
      <c r="Y14" t="str">
        <f t="shared" si="13"/>
        <v>0x03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C2_S[8]={0x00,0x00,0x30,0xF0,0x68,0x00,0x6C,0x00};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1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3"/>
        <v>0x00</v>
      </c>
      <c r="U15" t="str">
        <f t="shared" si="13"/>
        <v>0xF0</v>
      </c>
      <c r="V15" t="str">
        <f t="shared" si="13"/>
        <v>0xF0</v>
      </c>
      <c r="W15" t="str">
        <f t="shared" si="13"/>
        <v>0x80</v>
      </c>
      <c r="X15" t="str">
        <f t="shared" si="13"/>
        <v>0x00</v>
      </c>
      <c r="Y15" t="str">
        <f t="shared" si="13"/>
        <v>0x80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B2_S[8]={0x00,0x00,0x31,0xF0,0x3C,0x00,0x66,0x00};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3"/>
        <v>0x60</v>
      </c>
      <c r="U16" t="str">
        <f t="shared" si="13"/>
        <v>0x68</v>
      </c>
      <c r="V16" t="str">
        <f t="shared" si="13"/>
        <v>0x3C</v>
      </c>
      <c r="W16" t="str">
        <f t="shared" si="13"/>
        <v>0x3C</v>
      </c>
      <c r="X16" t="str">
        <f t="shared" si="13"/>
        <v>0x03</v>
      </c>
      <c r="Y16" t="str">
        <f t="shared" si="13"/>
        <v>0x01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A2_S[8]={0x00,0x00,0x31,0x80,0x3C,0x00,0x66,0x00};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3"/>
        <v>0x00</v>
      </c>
      <c r="U17" t="str">
        <f t="shared" si="13"/>
        <v>0x00</v>
      </c>
      <c r="V17" t="str">
        <f t="shared" si="13"/>
        <v>0x00</v>
      </c>
      <c r="W17" t="str">
        <f t="shared" si="13"/>
        <v>0x00</v>
      </c>
      <c r="X17" t="str">
        <f t="shared" si="13"/>
        <v>0x80</v>
      </c>
      <c r="Y17" t="str">
        <f t="shared" si="13"/>
        <v>0xF0</v>
      </c>
      <c r="Z17" t="str">
        <f t="shared" si="13"/>
        <v>0xF0</v>
      </c>
      <c r="AA17" t="str">
        <f t="shared" si="13"/>
        <v>0x00</v>
      </c>
      <c r="AC17" t="str">
        <f t="shared" si="14"/>
        <v>const uint8_t D1_S[8]={0x00,0x00,0x03,0x00,0x03,0x80,0x0C,0x00};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3"/>
        <v>0x60</v>
      </c>
      <c r="U18" t="str">
        <f t="shared" si="13"/>
        <v>0x6C</v>
      </c>
      <c r="V18" t="str">
        <f t="shared" si="13"/>
        <v>0x66</v>
      </c>
      <c r="W18" t="str">
        <f t="shared" si="13"/>
        <v>0x66</v>
      </c>
      <c r="X18" t="str">
        <f t="shared" si="13"/>
        <v>0x0C</v>
      </c>
      <c r="Y18" t="str">
        <f t="shared" si="13"/>
        <v>0x0C</v>
      </c>
      <c r="Z18" t="str">
        <f t="shared" si="13"/>
        <v>0x08</v>
      </c>
      <c r="AA18" t="str">
        <f t="shared" si="13"/>
        <v>0x00</v>
      </c>
      <c r="AC18" t="str">
        <f t="shared" si="14"/>
        <v>const uint8_t C1_S[8]={0x00,0x00,0x03,0x80,0x01,0xF0,0x0C,0x00};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1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B1_S[8]={0x00,0x00,0x00,0x00,0x00,0xF0,0x08,0x00};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14"/>
        <v>const uint8_t A1_S[8]={0x00,0x00,0x00,0x00,0x00,0x00,0x00,0x00};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04" priority="1" operator="equal">
      <formula>2</formula>
    </cfRule>
    <cfRule type="cellIs" dxfId="103" priority="2" operator="equal">
      <formula>1</formula>
    </cfRule>
    <cfRule type="cellIs" dxfId="102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1934-A140-4641-9EAB-34F1BC2F126C}">
  <sheetPr codeName="Planilha34"/>
  <dimension ref="A1:AI30"/>
  <sheetViews>
    <sheetView workbookViewId="0">
      <selection activeCell="AB2" sqref="AB2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33</v>
      </c>
      <c r="Y3" t="str">
        <f>DEC2HEX(K6*2^0+K5*2^1+K4*2^2+K3*2^3+O6*2^4+O5*2^5+O4*2^6+O3*2^7,2)</f>
        <v>03</v>
      </c>
      <c r="Z3" t="str">
        <f>DEC2HEX(L6*2^0+L5*2^1+L4*2^2+L3*2^3+P6*2^4+P5*2^5+P4*2^6+P3*2^7,2)</f>
        <v>03</v>
      </c>
      <c r="AA3" t="str">
        <f>DEC2HEX(M6*2^0+M5*2^1+M4*2^2+M3*2^3+Q6*2^4+Q5*2^5+Q4*2^6+Q3*2^7,2)</f>
        <v>03</v>
      </c>
      <c r="AC3" t="s">
        <v>28</v>
      </c>
      <c r="AD3" t="s">
        <v>60</v>
      </c>
      <c r="AE3" t="s">
        <v>37</v>
      </c>
      <c r="AF3" t="s">
        <v>37</v>
      </c>
      <c r="AG3" t="s">
        <v>37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00</v>
      </c>
      <c r="V4" t="str">
        <f>DEC2HEX(D10*2^0+D9*2^1+D8*2^2+D7*2^3+H10*2^4+H9*2^5+H8*2^6+H7*2^7,2)</f>
        <v>F0</v>
      </c>
      <c r="W4" t="str">
        <f>DEC2HEX(E10*2^0+E9*2^1+E8*2^2+E7*2^3+I10*2^4+I9*2^5+I8*2^6+I7*2^7,2)</f>
        <v>F0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43</v>
      </c>
      <c r="AF4" t="s">
        <v>43</v>
      </c>
      <c r="AG4" t="s">
        <v>43</v>
      </c>
      <c r="AH4" t="s">
        <v>38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F0</v>
      </c>
      <c r="W5" t="str">
        <f>DEC2HEX(E14*2^0+E13*2^1+E12*2^2+E11*2^3+I14*2^4+I13*2^5+I12*2^6+I11*2^7,2)</f>
        <v>F0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43</v>
      </c>
      <c r="AF5" t="s">
        <v>43</v>
      </c>
      <c r="AG5" t="s">
        <v>43</v>
      </c>
      <c r="AH5" t="s">
        <v>38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F0</v>
      </c>
      <c r="W6" t="str">
        <f>DEC2HEX(E18*2^0+E17*2^1+E16*2^2+E15*2^3+I18*2^4+I17*2^5+I16*2^6+I15*2^7,2)</f>
        <v>F0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60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1</v>
      </c>
      <c r="I7" s="10">
        <v>1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E0</v>
      </c>
      <c r="W7" t="str">
        <f>DEC2HEX(E22*2^0+E21*2^1+E20*2^2+E19*2^3+I22*2^4+I21*2^5+I20*2^6+I19*2^7,2)</f>
        <v>E0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35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1</v>
      </c>
      <c r="I8" s="10">
        <v>1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35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1</v>
      </c>
      <c r="I9" s="10">
        <v>1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35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</v>
      </c>
      <c r="I10" s="10">
        <v>1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1</v>
      </c>
      <c r="I11" s="10">
        <v>1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1</v>
      </c>
      <c r="I12" s="10">
        <v>1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1</v>
      </c>
      <c r="I13" s="10">
        <v>1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T_D2[6]={0x30,0x00,0x00,0x00,0x00,0x00};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0x33</v>
      </c>
      <c r="Y14" t="str">
        <f t="shared" si="1"/>
        <v>0x03</v>
      </c>
      <c r="Z14" t="str">
        <f t="shared" si="1"/>
        <v>0x03</v>
      </c>
      <c r="AA14" t="str">
        <f t="shared" si="1"/>
        <v>0x03</v>
      </c>
      <c r="AC14" t="str">
        <f t="shared" si="0"/>
        <v>const uint8_t T_C2[6]={0x33,0x00,0x00,0x00,0x00,0x00};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0x00</v>
      </c>
      <c r="V15" t="str">
        <f t="shared" si="1"/>
        <v>0xF0</v>
      </c>
      <c r="W15" t="str">
        <f t="shared" si="1"/>
        <v>0xF0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T_B2[6]={0x33,0xF0,0xF0,0xF0,0xE0,0x00};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1</v>
      </c>
      <c r="I16" s="10">
        <v>1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0x00</v>
      </c>
      <c r="V16" t="str">
        <f t="shared" si="1"/>
        <v>0xF0</v>
      </c>
      <c r="W16" t="str">
        <f t="shared" si="1"/>
        <v>0xF0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T_A2[6]={0x33,0xF0,0xF0,0xF0,0xE0,0x00};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1</v>
      </c>
      <c r="I17" s="10">
        <v>1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0x00</v>
      </c>
      <c r="V17" t="str">
        <f t="shared" si="1"/>
        <v>0xF0</v>
      </c>
      <c r="W17" t="str">
        <f t="shared" si="1"/>
        <v>0xF0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T_D1[6]={0x33,0x00,0x00,0x00,0x00,0x00};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1</v>
      </c>
      <c r="I18" s="10">
        <v>1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0x00</v>
      </c>
      <c r="V18" t="str">
        <f t="shared" si="1"/>
        <v>0xE0</v>
      </c>
      <c r="W18" t="str">
        <f t="shared" si="1"/>
        <v>0xE0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T_C1[6]={0x03,0x00,0x00,0x00,0x00,0x00};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1</v>
      </c>
      <c r="I19" s="10">
        <v>1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T_B1[6]={0x03,0x00,0x00,0x00,0x00,0x00};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1</v>
      </c>
      <c r="I20" s="10">
        <v>1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T_A1[6]={0x03,0x00,0x00,0x00,0x00,0x00};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01" priority="1" operator="equal">
      <formula>2</formula>
    </cfRule>
    <cfRule type="cellIs" dxfId="100" priority="2" operator="equal">
      <formula>1</formula>
    </cfRule>
    <cfRule type="cellIs" dxfId="99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342FD-70EA-45C5-82C9-B22771EBD3B7}">
  <sheetPr codeName="Planilha35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00</v>
      </c>
      <c r="X3" t="str">
        <f>DEC2HEX(J6*2^0+J5*2^1+J4*2^2+J3*2^3+N6*2^4+N5*2^5+N4*2^6+N3*2^7,2)</f>
        <v>30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03</v>
      </c>
      <c r="AC3" t="s">
        <v>28</v>
      </c>
      <c r="AD3" t="s">
        <v>35</v>
      </c>
      <c r="AE3" t="s">
        <v>40</v>
      </c>
      <c r="AF3" t="s">
        <v>40</v>
      </c>
      <c r="AG3" t="s">
        <v>40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F0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0F</v>
      </c>
      <c r="AC4" t="s">
        <v>29</v>
      </c>
      <c r="AD4" t="s">
        <v>35</v>
      </c>
      <c r="AE4" t="s">
        <v>40</v>
      </c>
      <c r="AF4" t="s">
        <v>40</v>
      </c>
      <c r="AG4" t="s">
        <v>40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F0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37</v>
      </c>
      <c r="AF5" t="s">
        <v>37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F0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01</v>
      </c>
      <c r="AA6" t="str">
        <f>DEC2HEX(M18*2^0+M17*2^1+M16*2^2+M15*2^3+Q18*2^4+Q17*2^5+Q16*2^6+Q15*2^7,2)</f>
        <v>0F</v>
      </c>
      <c r="AC6" t="s">
        <v>30</v>
      </c>
      <c r="AD6" t="s">
        <v>34</v>
      </c>
      <c r="AE6" t="s">
        <v>43</v>
      </c>
      <c r="AF6" t="s">
        <v>43</v>
      </c>
      <c r="AG6" t="s">
        <v>43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1</v>
      </c>
      <c r="N7" s="10">
        <v>1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0C</v>
      </c>
      <c r="AA7" t="str">
        <f>DEC2HEX(M22*2^0+M21*2^1+M20*2^2+M19*2^3+Q22*2^4+Q21*2^5+Q20*2^6+Q19*2^7,2)</f>
        <v>08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1</v>
      </c>
      <c r="N8" s="10">
        <v>1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36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35</v>
      </c>
      <c r="AE9" t="s">
        <v>40</v>
      </c>
      <c r="AF9" t="s">
        <v>40</v>
      </c>
      <c r="AG9" t="s">
        <v>40</v>
      </c>
      <c r="AH9" t="s">
        <v>41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1</v>
      </c>
      <c r="N11" s="10">
        <v>1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1</v>
      </c>
      <c r="N12" s="10">
        <v>1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U_D2[6]={0x00,0x00,0x00,0x00,0xE0,0x00};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0x03</v>
      </c>
      <c r="V14" t="str">
        <f t="shared" si="1"/>
        <v>0x03</v>
      </c>
      <c r="W14" t="str">
        <f t="shared" si="1"/>
        <v>0x00</v>
      </c>
      <c r="X14" t="str">
        <f t="shared" si="1"/>
        <v>0x30</v>
      </c>
      <c r="Y14" t="str">
        <f t="shared" si="1"/>
        <v>0x00</v>
      </c>
      <c r="Z14" t="str">
        <f t="shared" si="1"/>
        <v>0x00</v>
      </c>
      <c r="AA14" t="str">
        <f t="shared" si="1"/>
        <v>0x03</v>
      </c>
      <c r="AC14" t="str">
        <f t="shared" si="0"/>
        <v>const uint8_t U_C2[6]={0x03,0x0F,0x0F,0x0F,0x60,0x00};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0xF0</v>
      </c>
      <c r="Y15" t="str">
        <f t="shared" si="1"/>
        <v>0x00</v>
      </c>
      <c r="Z15" t="str">
        <f t="shared" si="1"/>
        <v>0x00</v>
      </c>
      <c r="AA15" t="str">
        <f t="shared" si="1"/>
        <v>0x0F</v>
      </c>
      <c r="AC15" t="str">
        <f t="shared" si="0"/>
        <v>const uint8_t U_B2[6]={0x03,0x0F,0x0F,0x0F,0x68,0x00};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0xF0</v>
      </c>
      <c r="Y16" t="str">
        <f t="shared" si="1"/>
        <v>0x00</v>
      </c>
      <c r="Z16" t="str">
        <f t="shared" si="1"/>
        <v>0x00</v>
      </c>
      <c r="AA16" t="str">
        <f t="shared" si="1"/>
        <v>0x0F</v>
      </c>
      <c r="AC16" t="str">
        <f t="shared" si="0"/>
        <v>const uint8_t U_A2[6]={0x00,0x00,0x00,0x01,0x6C,0x00};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0xF0</v>
      </c>
      <c r="Y17" t="str">
        <f t="shared" si="1"/>
        <v>0x00</v>
      </c>
      <c r="Z17" t="str">
        <f t="shared" si="1"/>
        <v>0x01</v>
      </c>
      <c r="AA17" t="str">
        <f t="shared" si="1"/>
        <v>0x0F</v>
      </c>
      <c r="AC17" t="str">
        <f t="shared" si="0"/>
        <v>const uint8_t U_D1[6]={0x30,0xF0,0xF0,0xF0,0x06,0x00};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1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0xE0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0x06</v>
      </c>
      <c r="Y18" t="str">
        <f t="shared" si="1"/>
        <v>0x0E</v>
      </c>
      <c r="Z18" t="str">
        <f t="shared" si="1"/>
        <v>0x0C</v>
      </c>
      <c r="AA18" t="str">
        <f t="shared" si="1"/>
        <v>0x08</v>
      </c>
      <c r="AC18" t="str">
        <f t="shared" si="0"/>
        <v>const uint8_t U_C1[6]={0x00,0x00,0x00,0x00,0x0E,0x00};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U_B1[6]={0x00,0x00,0x00,0x01,0x0C,0x00};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U_A1[6]={0x03,0x0F,0x0F,0x0F,0x08,0x00};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98" priority="1" operator="equal">
      <formula>2</formula>
    </cfRule>
    <cfRule type="cellIs" dxfId="97" priority="2" operator="equal">
      <formula>1</formula>
    </cfRule>
    <cfRule type="cellIs" dxfId="96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0B7A3-CFF6-4C29-803D-24B8F17BE23E}">
  <sheetPr codeName="Planilha36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36</v>
      </c>
      <c r="AF2" t="s">
        <v>43</v>
      </c>
      <c r="AG2" t="s">
        <v>41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03</v>
      </c>
      <c r="V3" s="28" t="str">
        <f>DEC2HEX(D6*2^0+D5*2^1+D4*2^2+D3*2^3+H6*2^4+H5*2^5+H4*2^6+H3*2^7,2)</f>
        <v>03</v>
      </c>
      <c r="W3" s="28" t="str">
        <f>DEC2HEX(E6*2^0+E5*2^1+E4*2^2+E3*2^3+I6*2^4+I5*2^5+I4*2^6+I3*2^7,2)</f>
        <v>01</v>
      </c>
      <c r="X3" s="28" t="str">
        <f>DEC2HEX(J6*2^0+J5*2^1+J4*2^2+J3*2^3+N6*2^4+N5*2^5+N4*2^6+N3*2^7,2)</f>
        <v>30</v>
      </c>
      <c r="Y3" s="28" t="str">
        <f t="shared" ref="Y3" si="0">DEC2HEX(K6*2^0+K5*2^1+K4*2^2+K3*2^3+O6*2^4+O5*2^5+O4*2^6+O3*2^7,2)</f>
        <v>30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01</v>
      </c>
      <c r="AC3" t="s">
        <v>28</v>
      </c>
      <c r="AD3" t="s">
        <v>35</v>
      </c>
      <c r="AE3" t="s">
        <v>37</v>
      </c>
      <c r="AF3" t="s">
        <v>34</v>
      </c>
      <c r="AG3" t="s">
        <v>40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s="28" t="str">
        <f>DEC2HEX(B10*2^4+B9*2^5+B8*2^6+B7*2^7+F10*2^0+F9*2^1+F8*2^2+F7*2^3,2)</f>
        <v>01</v>
      </c>
      <c r="U4" s="28" t="str">
        <f>DEC2HEX(C10*2^4+C9*2^5+C8*2^6+C7*2^7+G10*2^0+G9*2^1+G8*2^2+G7*2^3,2)</f>
        <v>00</v>
      </c>
      <c r="V4" s="28" t="str">
        <f>DEC2HEX(D10*2^4+D9*2^5+D8*2^6+D7*2^7+H10*2^0+H9*2^1+H8*2^2+H7*2^3,2)</f>
        <v>E0</v>
      </c>
      <c r="W4" s="28" t="str">
        <f>DEC2HEX(E10*2^4+E9*2^5+E8*2^6+E7*2^7+I10*2^0+I9*2^1+I8*2^2+I7*2^3,2)</f>
        <v>F0</v>
      </c>
      <c r="X4" s="28" t="str">
        <f>DEC2HEX(J10*2^4+J9*2^5+J8*2^6+J7*2^7+N10*2^0+N9*2^1+N8*2^2+N7*2^3,2)</f>
        <v>0E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10</v>
      </c>
      <c r="AA4" s="28" t="str">
        <f>DEC2HEX(M10*2^4+M9*2^5+M8*2^6+M7*2^7+Q10*2^0+Q9*2^1+Q8*2^2+Q7*2^3,2)</f>
        <v>F0</v>
      </c>
      <c r="AC4" t="s">
        <v>29</v>
      </c>
      <c r="AD4" t="s">
        <v>35</v>
      </c>
      <c r="AE4" t="s">
        <v>38</v>
      </c>
      <c r="AF4" t="s">
        <v>37</v>
      </c>
      <c r="AG4" t="s">
        <v>62</v>
      </c>
      <c r="AH4" t="s">
        <v>38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1</v>
      </c>
      <c r="O5" s="10">
        <v>1</v>
      </c>
      <c r="P5" s="10">
        <v>0</v>
      </c>
      <c r="Q5" s="10">
        <v>0</v>
      </c>
      <c r="R5">
        <v>0</v>
      </c>
      <c r="T5" s="28" t="str">
        <f t="shared" ref="T5:U5" si="1">DEC2HEX(B14*2^0+B13*2^1+B12*2^2+B11*2^3+F14*2^4+F13*2^5+F12*2^6+F11*2^7,2)</f>
        <v>F0</v>
      </c>
      <c r="U5" s="28" t="str">
        <f t="shared" si="1"/>
        <v>30</v>
      </c>
      <c r="V5" s="28" t="str">
        <f>DEC2HEX(D14*2^0+D13*2^1+D12*2^2+D11*2^3+H14*2^4+H13*2^5+H12*2^6+H11*2^7,2)</f>
        <v>00</v>
      </c>
      <c r="W5" s="28" t="str">
        <f t="shared" ref="W5" si="2">DEC2HEX(E14*2^0+E13*2^1+E12*2^2+E11*2^3+I14*2^4+I13*2^5+I12*2^6+I11*2^7,2)</f>
        <v>0C</v>
      </c>
      <c r="X5" s="28" t="str">
        <f t="shared" ref="X5:Y5" si="3">DEC2HEX(J14*2^0+J13*2^1+J12*2^2+J11*2^3+N14*2^4+N13*2^5+N12*2^6+N11*2^7,2)</f>
        <v>00</v>
      </c>
      <c r="Y5" s="28" t="str">
        <f t="shared" si="3"/>
        <v>03</v>
      </c>
      <c r="Z5" s="28" t="str">
        <f>DEC2HEX(L14*2^0+L13*2^1+L12*2^2+L11*2^3+P14*2^4+P13*2^5+P12*2^6+P11*2^7,2)</f>
        <v>0F</v>
      </c>
      <c r="AA5" s="28" t="str">
        <f>DEC2HEX(M14*2^0+M13*2^1+M12*2^2+M11*2^3+Q14*2^4+Q13*2^5+Q12*2^6+Q11*2^7,2)</f>
        <v>0C</v>
      </c>
      <c r="AC5" t="s">
        <v>2</v>
      </c>
      <c r="AD5" t="s">
        <v>36</v>
      </c>
      <c r="AE5" t="s">
        <v>43</v>
      </c>
      <c r="AF5" t="s">
        <v>48</v>
      </c>
      <c r="AG5" t="s">
        <v>37</v>
      </c>
      <c r="AH5" t="s">
        <v>45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1</v>
      </c>
      <c r="N6" s="10">
        <v>1</v>
      </c>
      <c r="O6" s="10">
        <v>1</v>
      </c>
      <c r="P6" s="10">
        <v>0</v>
      </c>
      <c r="Q6" s="10">
        <v>0</v>
      </c>
      <c r="R6">
        <v>0</v>
      </c>
      <c r="T6" s="28" t="str">
        <f t="shared" ref="T6:U6" si="4">DEC2HEX(B18*2^4+B17*2^5+B16*2^6+B15*2^7+F18*2^0+F17*2^1+F16*2^2+F15*2^3,2)</f>
        <v>08</v>
      </c>
      <c r="U6" s="28" t="str">
        <f t="shared" si="4"/>
        <v>0F</v>
      </c>
      <c r="V6" s="28" t="str">
        <f>DEC2HEX(D18*2^4+D17*2^5+D16*2^6+D15*2^7+H18*2^0+H17*2^1+H16*2^2+H15*2^3,2)</f>
        <v>07</v>
      </c>
      <c r="W6" s="28" t="str">
        <f t="shared" ref="W6" si="5">DEC2HEX(E18*2^4+E17*2^5+E16*2^6+E15*2^7+I18*2^0+I17*2^1+I16*2^2+I15*2^3,2)</f>
        <v>00</v>
      </c>
      <c r="X6" s="28" t="str">
        <f t="shared" ref="X6:Y6" si="6">DEC2HEX(J18*2^4+J17*2^5+J16*2^6+J15*2^7+N18*2^0+N17*2^1+N16*2^2+N15*2^3,2)</f>
        <v>70</v>
      </c>
      <c r="Y6" s="28" t="str">
        <f t="shared" si="6"/>
        <v>F0</v>
      </c>
      <c r="Z6" s="28" t="str">
        <f>DEC2HEX(L18*2^4+L17*2^5+L16*2^6+L15*2^7+P18*2^0+P17*2^1+P16*2^2+P15*2^3,2)</f>
        <v>80</v>
      </c>
      <c r="AA6" s="28" t="str">
        <f>DEC2HEX(M18*2^4+M17*2^5+M16*2^6+M15*2^7+Q18*2^0+Q17*2^1+Q16*2^2+Q15*2^3,2)</f>
        <v>00</v>
      </c>
      <c r="AC6" t="s">
        <v>30</v>
      </c>
      <c r="AD6" t="s">
        <v>34</v>
      </c>
      <c r="AE6" t="s">
        <v>42</v>
      </c>
      <c r="AF6" t="s">
        <v>37</v>
      </c>
      <c r="AG6" t="s">
        <v>51</v>
      </c>
      <c r="AH6" t="s">
        <v>42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1</v>
      </c>
      <c r="N7" s="10">
        <v>1</v>
      </c>
      <c r="O7" s="10">
        <v>0</v>
      </c>
      <c r="P7" s="10">
        <v>0</v>
      </c>
      <c r="Q7" s="10">
        <v>0</v>
      </c>
      <c r="R7">
        <v>0</v>
      </c>
      <c r="T7" s="28" t="str">
        <f t="shared" ref="T7:U7" si="7">DEC2HEX(B22*2^0+B21*2^1+B20*2^2+B19*2^3+F22*2^4+F21*2^5+F20*2^6+F19*2^7,2)</f>
        <v>00</v>
      </c>
      <c r="U7" s="28" t="str">
        <f t="shared" si="7"/>
        <v>00</v>
      </c>
      <c r="V7" s="28" t="str">
        <f>DEC2HEX(D22*2^0+D21*2^1+D20*2^2+D19*2^3+H22*2^4+H21*2^5+H20*2^6+H19*2^7,2)</f>
        <v>E0</v>
      </c>
      <c r="W7" s="28" t="str">
        <f t="shared" ref="W7" si="8">DEC2HEX(E22*2^0+E21*2^1+E20*2^2+E19*2^3+I22*2^4+I21*2^5+I20*2^6+I19*2^7,2)</f>
        <v>60</v>
      </c>
      <c r="X7" s="28" t="str">
        <f t="shared" ref="X7:Y7" si="9">DEC2HEX(J22*2^0+J21*2^1+J20*2^2+J19*2^3+N22*2^4+N21*2^5+N20*2^6+N19*2^7,2)</f>
        <v>0E</v>
      </c>
      <c r="Y7" s="28" t="str">
        <f t="shared" si="9"/>
        <v>00</v>
      </c>
      <c r="Z7" s="28" t="str">
        <f>DEC2HEX(L22*2^0+L21*2^1+L20*2^2+L19*2^3+P22*2^4+P21*2^5+P20*2^6+P19*2^7,2)</f>
        <v>00</v>
      </c>
      <c r="AA7" s="28" t="str">
        <f>DEC2HEX(M22*2^0+M21*2^1+M20*2^2+M19*2^3+Q22*2^4+Q21*2^5+Q20*2^6+Q19*2^7,2)</f>
        <v>00</v>
      </c>
      <c r="AC7" t="s">
        <v>31</v>
      </c>
      <c r="AD7" t="s">
        <v>34</v>
      </c>
      <c r="AE7" t="s">
        <v>37</v>
      </c>
      <c r="AF7" t="s">
        <v>35</v>
      </c>
      <c r="AG7" t="s">
        <v>43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1</v>
      </c>
      <c r="N8" s="10">
        <v>1</v>
      </c>
      <c r="O8" s="10">
        <v>0</v>
      </c>
      <c r="P8" s="10">
        <v>0</v>
      </c>
      <c r="Q8" s="10">
        <v>0</v>
      </c>
      <c r="R8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33</v>
      </c>
      <c r="AF8" t="s">
        <v>40</v>
      </c>
      <c r="AG8" t="s">
        <v>39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36</v>
      </c>
      <c r="AE9" t="s">
        <v>43</v>
      </c>
      <c r="AF9" t="s">
        <v>48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1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D2_V[8]={0x00,0x00,0x00,0x01,0xF0,0x08,0x00,0x00};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3">_xlfn.CONCAT("0x",T3)</f>
        <v>0x00</v>
      </c>
      <c r="U14" t="str">
        <f t="shared" si="13"/>
        <v>0x03</v>
      </c>
      <c r="V14" t="str">
        <f t="shared" si="13"/>
        <v>0x03</v>
      </c>
      <c r="W14" t="str">
        <f t="shared" si="13"/>
        <v>0x01</v>
      </c>
      <c r="X14" t="str">
        <f t="shared" si="13"/>
        <v>0x30</v>
      </c>
      <c r="Y14" t="str">
        <f t="shared" si="13"/>
        <v>0x30</v>
      </c>
      <c r="Z14" t="str">
        <f t="shared" si="13"/>
        <v>0x00</v>
      </c>
      <c r="AA14" t="str">
        <f t="shared" si="13"/>
        <v>0x01</v>
      </c>
      <c r="AC14" t="str">
        <f t="shared" ref="AC14:AC20" si="14">_xlfn.CONCAT("const uint8_t ",AC3,"_",$AB$1,"[8]={0x00,0x00,",AD3,",",AE3,",",AF3,",",AG3,",",AH3,",",AI3,"};")</f>
        <v>const uint8_t C2_V[8]={0x00,0x00,0x03,0x00,0x30,0x0F,0x00,0x00};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1</v>
      </c>
      <c r="G15" s="10">
        <v>1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3"/>
        <v>0x01</v>
      </c>
      <c r="U15" t="str">
        <f t="shared" si="13"/>
        <v>0x00</v>
      </c>
      <c r="V15" t="str">
        <f t="shared" si="13"/>
        <v>0xE0</v>
      </c>
      <c r="W15" t="str">
        <f t="shared" si="13"/>
        <v>0xF0</v>
      </c>
      <c r="X15" t="str">
        <f t="shared" si="13"/>
        <v>0x0E</v>
      </c>
      <c r="Y15" t="str">
        <f t="shared" si="13"/>
        <v>0x00</v>
      </c>
      <c r="Z15" t="str">
        <f t="shared" si="13"/>
        <v>0x10</v>
      </c>
      <c r="AA15" t="str">
        <f t="shared" si="13"/>
        <v>0xF0</v>
      </c>
      <c r="AC15" t="str">
        <f t="shared" si="14"/>
        <v>const uint8_t B2_V[8]={0x00,0x00,0x03,0xE0,0x00,0x07,0xE0,0x00};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0</v>
      </c>
      <c r="J16" s="10">
        <v>1</v>
      </c>
      <c r="K16" s="10">
        <v>1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3"/>
        <v>0xF0</v>
      </c>
      <c r="U16" t="str">
        <f t="shared" si="13"/>
        <v>0x30</v>
      </c>
      <c r="V16" t="str">
        <f t="shared" si="13"/>
        <v>0x00</v>
      </c>
      <c r="W16" t="str">
        <f t="shared" si="13"/>
        <v>0x0C</v>
      </c>
      <c r="X16" t="str">
        <f t="shared" si="13"/>
        <v>0x00</v>
      </c>
      <c r="Y16" t="str">
        <f t="shared" si="13"/>
        <v>0x03</v>
      </c>
      <c r="Z16" t="str">
        <f t="shared" si="13"/>
        <v>0x0F</v>
      </c>
      <c r="AA16" t="str">
        <f t="shared" si="13"/>
        <v>0x0C</v>
      </c>
      <c r="AC16" t="str">
        <f t="shared" si="14"/>
        <v>const uint8_t A2_V[8]={0x00,0x00,0x01,0xF0,0x0C,0x00,0x60,0x00};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1</v>
      </c>
      <c r="H17" s="10">
        <v>1</v>
      </c>
      <c r="I17" s="10">
        <v>0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3"/>
        <v>0x08</v>
      </c>
      <c r="U17" t="str">
        <f t="shared" si="13"/>
        <v>0x0F</v>
      </c>
      <c r="V17" t="str">
        <f t="shared" si="13"/>
        <v>0x07</v>
      </c>
      <c r="W17" t="str">
        <f t="shared" si="13"/>
        <v>0x00</v>
      </c>
      <c r="X17" t="str">
        <f t="shared" si="13"/>
        <v>0x70</v>
      </c>
      <c r="Y17" t="str">
        <f t="shared" si="13"/>
        <v>0xF0</v>
      </c>
      <c r="Z17" t="str">
        <f t="shared" si="13"/>
        <v>0x80</v>
      </c>
      <c r="AA17" t="str">
        <f t="shared" si="13"/>
        <v>0x00</v>
      </c>
      <c r="AC17" t="str">
        <f t="shared" si="14"/>
        <v>const uint8_t D1_V[8]={0x00,0x00,0x30,0x0E,0x00,0x70,0x0E,0x00};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1</v>
      </c>
      <c r="H18" s="10">
        <v>1</v>
      </c>
      <c r="I18" s="10">
        <v>0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3"/>
        <v>0x00</v>
      </c>
      <c r="U18" t="str">
        <f t="shared" si="13"/>
        <v>0x00</v>
      </c>
      <c r="V18" t="str">
        <f t="shared" si="13"/>
        <v>0xE0</v>
      </c>
      <c r="W18" t="str">
        <f t="shared" si="13"/>
        <v>0x60</v>
      </c>
      <c r="X18" t="str">
        <f t="shared" si="13"/>
        <v>0x0E</v>
      </c>
      <c r="Y18" t="str">
        <f t="shared" si="13"/>
        <v>0x00</v>
      </c>
      <c r="Z18" t="str">
        <f t="shared" si="13"/>
        <v>0x00</v>
      </c>
      <c r="AA18" t="str">
        <f t="shared" si="13"/>
        <v>0x00</v>
      </c>
      <c r="AC18" t="str">
        <f t="shared" si="14"/>
        <v>const uint8_t C1_V[8]={0x00,0x00,0x30,0x00,0x03,0xF0,0x00,0x00};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1</v>
      </c>
      <c r="I19" s="10">
        <v>0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B1_V[8]={0x00,0x00,0x00,0x10,0x0F,0x80,0x00,0x00};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14"/>
        <v>const uint8_t A1_V[8]={0x00,0x00,0x01,0xF0,0x0C,0x00,0x00,0x00};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95" priority="1" operator="equal">
      <formula>2</formula>
    </cfRule>
    <cfRule type="cellIs" dxfId="94" priority="2" operator="equal">
      <formula>1</formula>
    </cfRule>
    <cfRule type="cellIs" dxfId="93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5096F-474E-4616-8081-7B193B884EE2}">
  <sheetPr codeName="Planilha37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127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34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01</v>
      </c>
      <c r="Y3" t="str">
        <f>DEC2HEX(K6*2^0+K5*2^1+K4*2^2+K3*2^3+O6*2^4+O5*2^5+O4*2^6+O3*2^7,2)</f>
        <v>01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40</v>
      </c>
      <c r="AF3" t="s">
        <v>92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0C</v>
      </c>
      <c r="Y4" t="str">
        <f>DEC2HEX(K10*2^0+K9*2^1+K8*2^2+K7*2^3+O10*2^4+O9*2^5+O8*2^6+O7*2^7,2)</f>
        <v>0F</v>
      </c>
      <c r="Z4" t="str">
        <f>DEC2HEX(L10*2^0+L9*2^1+L8*2^2+L7*2^3+P10*2^4+P9*2^5+P8*2^6+P7*2^7,2)</f>
        <v>0F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40</v>
      </c>
      <c r="AF4" t="s">
        <v>92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30</v>
      </c>
      <c r="U5" t="str">
        <f>DEC2HEX(C14*2^0+C13*2^1+C12*2^2+C11*2^3+G14*2^4+G13*2^5+G12*2^6+G11*2^7,2)</f>
        <v>3F</v>
      </c>
      <c r="V5" t="str">
        <f>DEC2HEX(D14*2^0+D13*2^1+D12*2^2+D11*2^3+H14*2^4+H13*2^5+H12*2^6+H11*2^7,2)</f>
        <v>3F</v>
      </c>
      <c r="W5" t="str">
        <f>DEC2HEX(E14*2^0+E13*2^1+E12*2^2+E11*2^3+I14*2^4+I13*2^5+I12*2^6+I11*2^7,2)</f>
        <v>33</v>
      </c>
      <c r="X5" t="str">
        <f>DEC2HEX(J14*2^0+J13*2^1+J12*2^2+J11*2^3+N14*2^4+N13*2^5+N12*2^6+N11*2^7,2)</f>
        <v>0E</v>
      </c>
      <c r="Y5" t="str">
        <f>DEC2HEX(K14*2^0+K13*2^1+K12*2^2+K11*2^3+O14*2^4+O13*2^5+O12*2^6+O11*2^7,2)</f>
        <v>0E</v>
      </c>
      <c r="Z5" t="str">
        <f>DEC2HEX(L14*2^0+L13*2^1+L12*2^2+L11*2^3+P14*2^4+P13*2^5+P12*2^6+P11*2^7,2)</f>
        <v>08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60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36</v>
      </c>
      <c r="AE6" t="s">
        <v>48</v>
      </c>
      <c r="AF6" t="s">
        <v>42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36</v>
      </c>
      <c r="AE7" t="s">
        <v>40</v>
      </c>
      <c r="AF7" t="s">
        <v>42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40</v>
      </c>
      <c r="AF8" t="s">
        <v>41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W_D2[6]={0x30,0x00,0x30,0x00,0x00,0x00};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0x01</v>
      </c>
      <c r="Y14" t="str">
        <f t="shared" si="1"/>
        <v>0x01</v>
      </c>
      <c r="Z14" t="str">
        <f t="shared" si="1"/>
        <v>0x00</v>
      </c>
      <c r="AA14" t="str">
        <f t="shared" si="1"/>
        <v>0x00</v>
      </c>
      <c r="AC14" t="str">
        <f t="shared" si="0"/>
        <v>const uint8_t W_C2[6]={0x33,0x0F,0x3F,0x0F,0x0E,0x00};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0x0C</v>
      </c>
      <c r="Y15" t="str">
        <f t="shared" si="1"/>
        <v>0x0F</v>
      </c>
      <c r="Z15" t="str">
        <f t="shared" si="1"/>
        <v>0x0F</v>
      </c>
      <c r="AA15" t="str">
        <f t="shared" si="1"/>
        <v>0x00</v>
      </c>
      <c r="AC15" t="str">
        <f t="shared" si="0"/>
        <v>const uint8_t W_B2[6]={0x33,0x0F,0x3F,0x0F,0x0E,0x00};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0x30</v>
      </c>
      <c r="U16" t="str">
        <f t="shared" si="1"/>
        <v>0x3F</v>
      </c>
      <c r="V16" t="str">
        <f t="shared" si="1"/>
        <v>0x3F</v>
      </c>
      <c r="W16" t="str">
        <f t="shared" si="1"/>
        <v>0x33</v>
      </c>
      <c r="X16" t="str">
        <f t="shared" si="1"/>
        <v>0x0E</v>
      </c>
      <c r="Y16" t="str">
        <f t="shared" si="1"/>
        <v>0x0E</v>
      </c>
      <c r="Z16" t="str">
        <f t="shared" si="1"/>
        <v>0x08</v>
      </c>
      <c r="AA16" t="str">
        <f t="shared" si="1"/>
        <v>0x00</v>
      </c>
      <c r="AC16" t="str">
        <f t="shared" si="0"/>
        <v>const uint8_t W_A2[6]={0x33,0x00,0x33,0x00,0x00,0x00};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W_D1[6]={0x01,0x0C,0x0E,0x00,0x00,0x00};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W_C1[6]={0x01,0x0F,0x0E,0x00,0x00,0x00};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W_B1[6]={0x00,0x0F,0x08,0x00,0x00,0x00};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W_A1[6]={0x00,0x00,0x00,0x00,0x00,0x00};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92" priority="1" operator="equal">
      <formula>2</formula>
    </cfRule>
    <cfRule type="cellIs" dxfId="91" priority="2" operator="equal">
      <formula>1</formula>
    </cfRule>
    <cfRule type="cellIs" dxfId="90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A83E1-79FD-49CB-B365-F6853993A853}">
  <sheetPr codeName="Planilha38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128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40</v>
      </c>
      <c r="AF2" t="s">
        <v>37</v>
      </c>
      <c r="AG2" t="s">
        <v>40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02</v>
      </c>
      <c r="V3" s="28" t="str">
        <f>DEC2HEX(D6*2^0+D5*2^1+D4*2^2+D3*2^3+H6*2^4+H5*2^5+H4*2^6+H3*2^7,2)</f>
        <v>03</v>
      </c>
      <c r="W3" s="28" t="str">
        <f>DEC2HEX(E6*2^0+E5*2^1+E4*2^2+E3*2^3+I6*2^4+I5*2^5+I4*2^6+I3*2^7,2)</f>
        <v>01</v>
      </c>
      <c r="X3" s="28" t="str">
        <f>DEC2HEX(J6*2^0+J5*2^1+J4*2^2+J3*2^3+N6*2^4+N5*2^5+N4*2^6+N3*2^7,2)</f>
        <v>20</v>
      </c>
      <c r="Y3" s="28" t="str">
        <f t="shared" ref="Y3" si="0">DEC2HEX(K6*2^0+K5*2^1+K4*2^2+K3*2^3+O6*2^4+O5*2^5+O4*2^6+O3*2^7,2)</f>
        <v>00</v>
      </c>
      <c r="Z3" s="28" t="str">
        <f>DEC2HEX(L6*2^0+L5*2^1+L4*2^2+L3*2^3+P6*2^4+P5*2^5+P4*2^6+P3*2^7,2)</f>
        <v>01</v>
      </c>
      <c r="AA3" s="28" t="str">
        <f>DEC2HEX(M6*2^0+M5*2^1+M4*2^2+M3*2^3+Q6*2^4+Q5*2^5+Q4*2^6+Q3*2^7,2)</f>
        <v>03</v>
      </c>
      <c r="AC3" t="s">
        <v>28</v>
      </c>
      <c r="AD3" t="s">
        <v>49</v>
      </c>
      <c r="AE3" t="s">
        <v>35</v>
      </c>
      <c r="AF3" t="s">
        <v>93</v>
      </c>
      <c r="AG3" t="s">
        <v>48</v>
      </c>
      <c r="AH3" t="s">
        <v>49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s="28" t="str">
        <f>DEC2HEX(B10*2^4+B9*2^5+B8*2^6+B7*2^7+F10*2^0+F9*2^1+F8*2^2+F7*2^3,2)</f>
        <v>0F</v>
      </c>
      <c r="U4" s="28" t="str">
        <f>DEC2HEX(C10*2^4+C9*2^5+C8*2^6+C7*2^7+G10*2^0+G9*2^1+G8*2^2+G7*2^3,2)</f>
        <v>03</v>
      </c>
      <c r="V4" s="28" t="str">
        <f>DEC2HEX(D10*2^4+D9*2^5+D8*2^6+D7*2^7+H10*2^0+H9*2^1+H8*2^2+H7*2^3,2)</f>
        <v>80</v>
      </c>
      <c r="W4" s="28" t="str">
        <f>DEC2HEX(E10*2^4+E9*2^5+E8*2^6+E7*2^7+I10*2^0+I9*2^1+I8*2^2+I7*2^3,2)</f>
        <v>C0</v>
      </c>
      <c r="X4" s="28" t="str">
        <f>DEC2HEX(J10*2^4+J9*2^5+J8*2^6+J7*2^7+N10*2^0+N9*2^1+N8*2^2+N7*2^3,2)</f>
        <v>30</v>
      </c>
      <c r="Y4" s="28" t="str">
        <f>DEC2HEX(K10*2^4+K9*2^5+K8*2^6+K7*2^7+O10*2^0+O9*2^1+O8*2^2+O7*2^3,2)</f>
        <v>F0</v>
      </c>
      <c r="Z4" s="28" t="str">
        <f>DEC2HEX(L10*2^4+L9*2^5+L8*2^6+L7*2^7+P10*2^0+P9*2^1+P8*2^2+P7*2^3,2)</f>
        <v>C0</v>
      </c>
      <c r="AA4" s="28" t="str">
        <f>DEC2HEX(M10*2^4+M9*2^5+M8*2^6+M7*2^7+Q10*2^0+Q9*2^1+Q8*2^2+Q7*2^3,2)</f>
        <v>80</v>
      </c>
      <c r="AC4" t="s">
        <v>29</v>
      </c>
      <c r="AD4" t="s">
        <v>35</v>
      </c>
      <c r="AE4" t="s">
        <v>39</v>
      </c>
      <c r="AF4" t="s">
        <v>43</v>
      </c>
      <c r="AG4" t="s">
        <v>41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R5">
        <v>0</v>
      </c>
      <c r="T5" s="28" t="str">
        <f t="shared" ref="T5:U5" si="1">DEC2HEX(B14*2^0+B13*2^1+B12*2^2+B11*2^3+F14*2^4+F13*2^5+F12*2^6+F11*2^7,2)</f>
        <v>00</v>
      </c>
      <c r="U5" s="28" t="str">
        <f t="shared" si="1"/>
        <v>D0</v>
      </c>
      <c r="V5" s="28" t="str">
        <f>DEC2HEX(D14*2^0+D13*2^1+D12*2^2+D11*2^3+H14*2^4+H13*2^5+H12*2^6+H11*2^7,2)</f>
        <v>F0</v>
      </c>
      <c r="W5" s="28" t="str">
        <f t="shared" ref="W5" si="2">DEC2HEX(E14*2^0+E13*2^1+E12*2^2+E11*2^3+I14*2^4+I13*2^5+I12*2^6+I11*2^7,2)</f>
        <v>F0</v>
      </c>
      <c r="X5" s="28" t="str">
        <f t="shared" ref="X5:Y5" si="3">DEC2HEX(J14*2^0+J13*2^1+J12*2^2+J11*2^3+N14*2^4+N13*2^5+N12*2^6+N11*2^7,2)</f>
        <v>0D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36</v>
      </c>
      <c r="AE5" t="s">
        <v>44</v>
      </c>
      <c r="AF5" t="s">
        <v>43</v>
      </c>
      <c r="AG5" t="s">
        <v>107</v>
      </c>
      <c r="AH5" t="s">
        <v>48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1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s="28" t="str">
        <f t="shared" ref="T6:U6" si="4">DEC2HEX(B18*2^4+B17*2^5+B16*2^6+B15*2^7+F18*2^0+F17*2^1+F16*2^2+F15*2^3,2)</f>
        <v>0F</v>
      </c>
      <c r="U6" s="28" t="str">
        <f t="shared" si="4"/>
        <v>0C</v>
      </c>
      <c r="V6" s="28" t="str">
        <f>DEC2HEX(D18*2^4+D17*2^5+D16*2^6+D15*2^7+H18*2^0+H17*2^1+H16*2^2+H15*2^3,2)</f>
        <v>08</v>
      </c>
      <c r="W6" s="28" t="str">
        <f t="shared" ref="W6" si="5">DEC2HEX(E18*2^4+E17*2^5+E16*2^6+E15*2^7+I18*2^0+I17*2^1+I16*2^2+I15*2^3,2)</f>
        <v>38</v>
      </c>
      <c r="X6" s="28" t="str">
        <f t="shared" ref="X6:Y6" si="6">DEC2HEX(J18*2^4+J17*2^5+J16*2^6+J15*2^7+N18*2^0+N17*2^1+N16*2^2+N15*2^3,2)</f>
        <v>C0</v>
      </c>
      <c r="Y6" s="28" t="str">
        <f t="shared" si="6"/>
        <v>F0</v>
      </c>
      <c r="Z6" s="28" t="str">
        <f>DEC2HEX(L18*2^4+L17*2^5+L16*2^6+L15*2^7+P18*2^0+P17*2^1+P16*2^2+P15*2^3,2)</f>
        <v>30</v>
      </c>
      <c r="AA6" s="28" t="str">
        <f>DEC2HEX(M18*2^4+M17*2^5+M16*2^6+M15*2^7+Q18*2^0+Q17*2^1+Q16*2^2+Q15*2^3,2)</f>
        <v>00</v>
      </c>
      <c r="AC6" t="s">
        <v>30</v>
      </c>
      <c r="AD6" t="s">
        <v>88</v>
      </c>
      <c r="AE6" t="s">
        <v>34</v>
      </c>
      <c r="AF6" t="s">
        <v>94</v>
      </c>
      <c r="AG6" t="s">
        <v>44</v>
      </c>
      <c r="AH6" t="s">
        <v>88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1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s="28" t="str">
        <f t="shared" ref="T7:U7" si="7">DEC2HEX(B22*2^0+B21*2^1+B20*2^2+B19*2^3+F22*2^4+F21*2^5+F20*2^6+F19*2^7,2)</f>
        <v>00</v>
      </c>
      <c r="U7" s="28" t="str">
        <f t="shared" si="7"/>
        <v>02</v>
      </c>
      <c r="V7" s="28" t="str">
        <f>DEC2HEX(D22*2^0+D21*2^1+D20*2^2+D19*2^3+H22*2^4+H21*2^5+H20*2^6+H19*2^7,2)</f>
        <v>0E</v>
      </c>
      <c r="W7" s="28" t="str">
        <f t="shared" ref="W7" si="8">DEC2HEX(E22*2^0+E21*2^1+E20*2^2+E19*2^3+I22*2^4+I21*2^5+I20*2^6+I19*2^7,2)</f>
        <v>0C</v>
      </c>
      <c r="X7" s="28" t="str">
        <f t="shared" ref="X7:Y7" si="9">DEC2HEX(J22*2^0+J21*2^1+J20*2^2+J19*2^3+N22*2^4+N21*2^5+N20*2^6+N19*2^7,2)</f>
        <v>20</v>
      </c>
      <c r="Y7" s="28" t="str">
        <f t="shared" si="9"/>
        <v>00</v>
      </c>
      <c r="Z7" s="28" t="str">
        <f>DEC2HEX(L22*2^0+L21*2^1+L20*2^2+L19*2^3+P22*2^4+P21*2^5+P20*2^6+P19*2^7,2)</f>
        <v>0C</v>
      </c>
      <c r="AA7" s="28" t="str">
        <f>DEC2HEX(M22*2^0+M21*2^1+M20*2^2+M19*2^3+Q22*2^4+Q21*2^5+Q20*2^6+Q19*2^7,2)</f>
        <v>0E</v>
      </c>
      <c r="AC7" t="s">
        <v>31</v>
      </c>
      <c r="AD7" t="s">
        <v>37</v>
      </c>
      <c r="AE7" t="s">
        <v>43</v>
      </c>
      <c r="AF7" t="s">
        <v>37</v>
      </c>
      <c r="AG7" t="s">
        <v>43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36</v>
      </c>
      <c r="AE8" t="s">
        <v>44</v>
      </c>
      <c r="AF8" t="s">
        <v>37</v>
      </c>
      <c r="AG8" t="s">
        <v>34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0</v>
      </c>
      <c r="I9" s="10">
        <v>0</v>
      </c>
      <c r="J9" s="10">
        <v>1</v>
      </c>
      <c r="K9" s="10">
        <v>1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35</v>
      </c>
      <c r="AE9" t="s">
        <v>39</v>
      </c>
      <c r="AF9" t="s">
        <v>37</v>
      </c>
      <c r="AG9" t="s">
        <v>37</v>
      </c>
      <c r="AH9" t="s">
        <v>42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1</v>
      </c>
      <c r="G10" s="10">
        <v>1</v>
      </c>
      <c r="H10" s="10">
        <v>0</v>
      </c>
      <c r="I10" s="10">
        <v>0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1</v>
      </c>
      <c r="H11" s="10">
        <v>1</v>
      </c>
      <c r="I11" s="10">
        <v>1</v>
      </c>
      <c r="J11" s="10">
        <v>1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1</v>
      </c>
      <c r="H12" s="10">
        <v>1</v>
      </c>
      <c r="I12" s="10">
        <v>1</v>
      </c>
      <c r="J12" s="10">
        <v>1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1</v>
      </c>
      <c r="I13" s="10">
        <v>1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D2_X[8]={0x00,0x00,0x00,0x0F,0x00,0x0F,0x00,0x00};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H14" s="10">
        <v>1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3">_xlfn.CONCAT("0x",T3)</f>
        <v>0x00</v>
      </c>
      <c r="U14" t="str">
        <f t="shared" si="13"/>
        <v>0x02</v>
      </c>
      <c r="V14" t="str">
        <f t="shared" si="13"/>
        <v>0x03</v>
      </c>
      <c r="W14" t="str">
        <f t="shared" si="13"/>
        <v>0x01</v>
      </c>
      <c r="X14" t="str">
        <f t="shared" si="13"/>
        <v>0x20</v>
      </c>
      <c r="Y14" t="str">
        <f t="shared" si="13"/>
        <v>0x00</v>
      </c>
      <c r="Z14" t="str">
        <f t="shared" si="13"/>
        <v>0x01</v>
      </c>
      <c r="AA14" t="str">
        <f t="shared" si="13"/>
        <v>0x03</v>
      </c>
      <c r="AC14" t="str">
        <f t="shared" ref="AC14:AC20" si="14">_xlfn.CONCAT("const uint8_t ",AC3,"_",$AB$1,"[8]={0x00,0x00,",AD3,",",AE3,",",AF3,",",AG3,",",AH3,",",AI3,"};")</f>
        <v>const uint8_t C2_X[8]={0x00,0x00,0x02,0x03,0xD0,0x0C,0x02,0x00};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  <c r="K15" s="10">
        <v>1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3"/>
        <v>0x0F</v>
      </c>
      <c r="U15" t="str">
        <f t="shared" si="13"/>
        <v>0x03</v>
      </c>
      <c r="V15" t="str">
        <f t="shared" si="13"/>
        <v>0x80</v>
      </c>
      <c r="W15" t="str">
        <f t="shared" si="13"/>
        <v>0xC0</v>
      </c>
      <c r="X15" t="str">
        <f t="shared" si="13"/>
        <v>0x30</v>
      </c>
      <c r="Y15" t="str">
        <f t="shared" si="13"/>
        <v>0xF0</v>
      </c>
      <c r="Z15" t="str">
        <f t="shared" si="13"/>
        <v>0xC0</v>
      </c>
      <c r="AA15" t="str">
        <f t="shared" si="13"/>
        <v>0x80</v>
      </c>
      <c r="AC15" t="str">
        <f t="shared" si="14"/>
        <v>const uint8_t B2_X[8]={0x00,0x00,0x03,0x80,0xF0,0x08,0x0E,0x00};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1</v>
      </c>
      <c r="G16" s="10">
        <v>1</v>
      </c>
      <c r="H16" s="10">
        <v>0</v>
      </c>
      <c r="I16" s="10">
        <v>0</v>
      </c>
      <c r="J16" s="10">
        <v>1</v>
      </c>
      <c r="K16" s="10">
        <v>1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3"/>
        <v>0x00</v>
      </c>
      <c r="U16" t="str">
        <f t="shared" si="13"/>
        <v>0xD0</v>
      </c>
      <c r="V16" t="str">
        <f t="shared" si="13"/>
        <v>0xF0</v>
      </c>
      <c r="W16" t="str">
        <f t="shared" si="13"/>
        <v>0xF0</v>
      </c>
      <c r="X16" t="str">
        <f t="shared" si="13"/>
        <v>0x0D</v>
      </c>
      <c r="Y16" t="str">
        <f t="shared" si="13"/>
        <v>0x00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A2_X[8]={0x00,0x00,0x01,0xC0,0xF0,0x38,0x0C,0x00};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3"/>
        <v>0x0F</v>
      </c>
      <c r="U17" t="str">
        <f t="shared" si="13"/>
        <v>0x0C</v>
      </c>
      <c r="V17" t="str">
        <f t="shared" si="13"/>
        <v>0x08</v>
      </c>
      <c r="W17" t="str">
        <f t="shared" si="13"/>
        <v>0x38</v>
      </c>
      <c r="X17" t="str">
        <f t="shared" si="13"/>
        <v>0xC0</v>
      </c>
      <c r="Y17" t="str">
        <f t="shared" si="13"/>
        <v>0xF0</v>
      </c>
      <c r="Z17" t="str">
        <f t="shared" si="13"/>
        <v>0x30</v>
      </c>
      <c r="AA17" t="str">
        <f t="shared" si="13"/>
        <v>0x00</v>
      </c>
      <c r="AC17" t="str">
        <f t="shared" si="14"/>
        <v>const uint8_t D1_X[8]={0x00,0x00,0x20,0x30,0x0D,0xC0,0x20,0x00};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3"/>
        <v>0x00</v>
      </c>
      <c r="U18" t="str">
        <f t="shared" si="13"/>
        <v>0x02</v>
      </c>
      <c r="V18" t="str">
        <f t="shared" si="13"/>
        <v>0x0E</v>
      </c>
      <c r="W18" t="str">
        <f t="shared" si="13"/>
        <v>0x0C</v>
      </c>
      <c r="X18" t="str">
        <f t="shared" si="13"/>
        <v>0x20</v>
      </c>
      <c r="Y18" t="str">
        <f t="shared" si="13"/>
        <v>0x00</v>
      </c>
      <c r="Z18" t="str">
        <f t="shared" si="13"/>
        <v>0x0C</v>
      </c>
      <c r="AA18" t="str">
        <f t="shared" si="13"/>
        <v>0x0E</v>
      </c>
      <c r="AC18" t="str">
        <f t="shared" si="14"/>
        <v>const uint8_t C1_X[8]={0x00,0x00,0x00,0xF0,0x00,0xF0,0x00,0x00};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B1_X[8]={0x00,0x00,0x01,0xC0,0x00,0x30,0x0C,0x00};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14"/>
        <v>const uint8_t A1_X[8]={0x00,0x00,0x03,0x80,0x00,0x00,0x0E,0x00};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1</v>
      </c>
      <c r="N21" s="10">
        <v>1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89" priority="1" operator="equal">
      <formula>2</formula>
    </cfRule>
    <cfRule type="cellIs" dxfId="88" priority="2" operator="equal">
      <formula>1</formula>
    </cfRule>
    <cfRule type="cellIs" dxfId="87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ECF72-3E16-4BE0-B7A9-971F078DC520}">
  <sheetPr codeName="Planilha39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129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51</v>
      </c>
      <c r="AF2" t="s">
        <v>44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03</v>
      </c>
      <c r="V3" t="str">
        <f>DEC2HEX(D6*2^0+D5*2^1+D4*2^2+D3*2^3+H6*2^4+H5*2^5+H4*2^6+H3*2^7,2)</f>
        <v>03</v>
      </c>
      <c r="W3" t="str">
        <f>DEC2HEX(E6*2^0+E5*2^1+E4*2^2+E3*2^3+I6*2^4+I5*2^5+I4*2^6+I3*2^7,2)</f>
        <v>01</v>
      </c>
      <c r="X3" t="str">
        <f>DEC2HEX(J6*2^0+J5*2^1+J4*2^2+J3*2^3+N6*2^4+N5*2^5+N4*2^6+N3*2^7,2)</f>
        <v>30</v>
      </c>
      <c r="Y3" t="str">
        <f>DEC2HEX(K6*2^0+K5*2^1+K4*2^2+K3*2^3+O6*2^4+O5*2^5+O4*2^6+O3*2^7,2)</f>
        <v>00</v>
      </c>
      <c r="Z3" t="str">
        <f>DEC2HEX(L6*2^0+L5*2^1+L4*2^2+L3*2^3+P6*2^4+P5*2^5+P4*2^6+P3*2^7,2)</f>
        <v>01</v>
      </c>
      <c r="AA3" t="str">
        <f>DEC2HEX(M6*2^0+M5*2^1+M4*2^2+M3*2^3+Q6*2^4+Q5*2^5+Q4*2^6+Q3*2^7,2)</f>
        <v>03</v>
      </c>
      <c r="AC3" t="s">
        <v>28</v>
      </c>
      <c r="AD3" t="s">
        <v>35</v>
      </c>
      <c r="AE3" t="s">
        <v>33</v>
      </c>
      <c r="AF3" t="s">
        <v>43</v>
      </c>
      <c r="AG3" t="s">
        <v>37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70</v>
      </c>
      <c r="U4" t="str">
        <f>DEC2HEX(C10*2^0+C9*2^1+C8*2^2+C7*2^3+G10*2^4+G9*2^5+G8*2^6+G7*2^7,2)</f>
        <v>10</v>
      </c>
      <c r="V4" t="str">
        <f>DEC2HEX(D10*2^0+D9*2^1+D8*2^2+D7*2^3+H10*2^4+H9*2^5+H8*2^6+H7*2^7,2)</f>
        <v>0C</v>
      </c>
      <c r="W4" t="str">
        <f>DEC2HEX(E10*2^0+E9*2^1+E8*2^2+E7*2^3+I10*2^4+I9*2^5+I8*2^6+I7*2^7,2)</f>
        <v>0F</v>
      </c>
      <c r="X4" t="str">
        <f>DEC2HEX(J10*2^0+J9*2^1+J8*2^2+J7*2^3+N10*2^4+N9*2^5+N8*2^6+N7*2^7,2)</f>
        <v>01</v>
      </c>
      <c r="Y4" t="str">
        <f>DEC2HEX(K10*2^0+K9*2^1+K8*2^2+K7*2^3+O10*2^4+O9*2^5+O8*2^6+O7*2^7,2)</f>
        <v>07</v>
      </c>
      <c r="Z4" t="str">
        <f>DEC2HEX(L10*2^0+L9*2^1+L8*2^2+L7*2^3+P10*2^4+P9*2^5+P8*2^6+P7*2^7,2)</f>
        <v>0F</v>
      </c>
      <c r="AA4" t="str">
        <f>DEC2HEX(M10*2^0+M9*2^1+M8*2^2+M7*2^3+Q10*2^4+Q9*2^5+Q8*2^6+Q7*2^7,2)</f>
        <v>0C</v>
      </c>
      <c r="AC4" t="s">
        <v>29</v>
      </c>
      <c r="AD4" t="s">
        <v>35</v>
      </c>
      <c r="AE4" t="s">
        <v>48</v>
      </c>
      <c r="AF4" t="s">
        <v>34</v>
      </c>
      <c r="AG4" t="s">
        <v>43</v>
      </c>
      <c r="AH4" t="s">
        <v>38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1</v>
      </c>
      <c r="N5" s="10">
        <v>1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C0</v>
      </c>
      <c r="U5" t="str">
        <f>DEC2HEX(C14*2^0+C13*2^1+C12*2^2+C11*2^3+G14*2^4+G13*2^5+G12*2^6+G11*2^7,2)</f>
        <v>F0</v>
      </c>
      <c r="V5" t="str">
        <f>DEC2HEX(D14*2^0+D13*2^1+D12*2^2+D11*2^3+H14*2^4+H13*2^5+H12*2^6+H11*2^7,2)</f>
        <v>30</v>
      </c>
      <c r="W5" t="str">
        <f>DEC2HEX(E14*2^0+E13*2^1+E12*2^2+E11*2^3+I14*2^4+I13*2^5+I12*2^6+I11*2^7,2)</f>
        <v>30</v>
      </c>
      <c r="X5" t="str">
        <f>DEC2HEX(J14*2^0+J13*2^1+J12*2^2+J11*2^3+N14*2^4+N13*2^5+N12*2^6+N11*2^7,2)</f>
        <v>0F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36</v>
      </c>
      <c r="AE5" t="s">
        <v>40</v>
      </c>
      <c r="AF5" t="s">
        <v>34</v>
      </c>
      <c r="AG5" t="s">
        <v>43</v>
      </c>
      <c r="AH5" t="s">
        <v>38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1</v>
      </c>
      <c r="M6" s="10">
        <v>1</v>
      </c>
      <c r="N6" s="10">
        <v>1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F0</v>
      </c>
      <c r="W6" t="str">
        <f>DEC2HEX(E18*2^0+E17*2^1+E16*2^2+E15*2^3+I18*2^4+I17*2^5+I16*2^6+I15*2^7,2)</f>
        <v>F0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34</v>
      </c>
      <c r="AE6" t="s">
        <v>36</v>
      </c>
      <c r="AF6" t="s">
        <v>40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1</v>
      </c>
      <c r="E7" s="10">
        <v>1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E0</v>
      </c>
      <c r="W7" t="str">
        <f>DEC2HEX(E22*2^0+E21*2^1+E20*2^2+E19*2^3+I22*2^4+I21*2^5+I20*2^6+I19*2^7,2)</f>
        <v>E0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62</v>
      </c>
      <c r="AF7" t="s">
        <v>48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1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1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36</v>
      </c>
      <c r="AE8" t="s">
        <v>40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35</v>
      </c>
      <c r="AE9" t="s">
        <v>48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0</v>
      </c>
      <c r="I10" s="10">
        <v>0</v>
      </c>
      <c r="J10" s="10">
        <v>1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1</v>
      </c>
      <c r="G11" s="10">
        <v>1</v>
      </c>
      <c r="H11" s="10">
        <v>0</v>
      </c>
      <c r="I11" s="10">
        <v>0</v>
      </c>
      <c r="J11" s="10">
        <v>1</v>
      </c>
      <c r="K11" s="10">
        <v>1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1</v>
      </c>
      <c r="G12" s="10">
        <v>1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H13" s="10">
        <v>1</v>
      </c>
      <c r="I13" s="10">
        <v>1</v>
      </c>
      <c r="J13" s="10">
        <v>1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Y_D2[6]={0x00,0x70,0xC0,0x00,0x00,0x00};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H14" s="10">
        <v>1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0x03</v>
      </c>
      <c r="V14" t="str">
        <f t="shared" si="1"/>
        <v>0x03</v>
      </c>
      <c r="W14" t="str">
        <f t="shared" si="1"/>
        <v>0x01</v>
      </c>
      <c r="X14" t="str">
        <f t="shared" si="1"/>
        <v>0x30</v>
      </c>
      <c r="Y14" t="str">
        <f t="shared" si="1"/>
        <v>0x00</v>
      </c>
      <c r="Z14" t="str">
        <f t="shared" si="1"/>
        <v>0x01</v>
      </c>
      <c r="AA14" t="str">
        <f t="shared" si="1"/>
        <v>0x03</v>
      </c>
      <c r="AC14" t="str">
        <f t="shared" si="0"/>
        <v>const uint8_t Y_C2[6]={0x03,0x10,0xF0,0x00,0x00,0x00};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0x70</v>
      </c>
      <c r="U15" t="str">
        <f t="shared" si="1"/>
        <v>0x10</v>
      </c>
      <c r="V15" t="str">
        <f t="shared" si="1"/>
        <v>0x0C</v>
      </c>
      <c r="W15" t="str">
        <f t="shared" si="1"/>
        <v>0x0F</v>
      </c>
      <c r="X15" t="str">
        <f t="shared" si="1"/>
        <v>0x01</v>
      </c>
      <c r="Y15" t="str">
        <f t="shared" si="1"/>
        <v>0x07</v>
      </c>
      <c r="Z15" t="str">
        <f t="shared" si="1"/>
        <v>0x0F</v>
      </c>
      <c r="AA15" t="str">
        <f t="shared" si="1"/>
        <v>0x0C</v>
      </c>
      <c r="AC15" t="str">
        <f t="shared" si="0"/>
        <v>const uint8_t Y_B2[6]={0x03,0x0C,0x30,0xF0,0xE0,0x00};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1</v>
      </c>
      <c r="I16" s="10">
        <v>1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0xC0</v>
      </c>
      <c r="U16" t="str">
        <f t="shared" si="1"/>
        <v>0xF0</v>
      </c>
      <c r="V16" t="str">
        <f t="shared" si="1"/>
        <v>0x30</v>
      </c>
      <c r="W16" t="str">
        <f t="shared" si="1"/>
        <v>0x30</v>
      </c>
      <c r="X16" t="str">
        <f t="shared" si="1"/>
        <v>0x0F</v>
      </c>
      <c r="Y16" t="str">
        <f t="shared" si="1"/>
        <v>0x0C</v>
      </c>
      <c r="Z16" t="str">
        <f t="shared" si="1"/>
        <v>0x00</v>
      </c>
      <c r="AA16" t="str">
        <f t="shared" si="1"/>
        <v>0x00</v>
      </c>
      <c r="AC16" t="str">
        <f t="shared" si="0"/>
        <v>const uint8_t Y_A2[6]={0x01,0x0F,0x30,0xF0,0xE0,0x00};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1</v>
      </c>
      <c r="I17" s="10">
        <v>1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0x00</v>
      </c>
      <c r="V17" t="str">
        <f t="shared" si="1"/>
        <v>0xF0</v>
      </c>
      <c r="W17" t="str">
        <f t="shared" si="1"/>
        <v>0xF0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Y_D1[6]={0x30,0x01,0x0F,0x00,0x00,0x00};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1</v>
      </c>
      <c r="I18" s="10">
        <v>1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0x00</v>
      </c>
      <c r="V18" t="str">
        <f t="shared" si="1"/>
        <v>0xE0</v>
      </c>
      <c r="W18" t="str">
        <f t="shared" si="1"/>
        <v>0xE0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Y_C1[6]={0x00,0x07,0x0C,0x00,0x00,0x00};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1</v>
      </c>
      <c r="I19" s="10">
        <v>1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Y_B1[6]={0x01,0x0F,0x00,0x00,0x00,0x00};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1</v>
      </c>
      <c r="I20" s="10">
        <v>1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Y_A1[6]={0x03,0x0C,0x00,0x00,0x00,0x00};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86" priority="1" operator="equal">
      <formula>2</formula>
    </cfRule>
    <cfRule type="cellIs" dxfId="85" priority="2" operator="equal">
      <formula>1</formula>
    </cfRule>
    <cfRule type="cellIs" dxfId="84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A4CF0-292E-4461-9658-6689885CE84F}">
  <sheetPr codeName="Planilha40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33</v>
      </c>
      <c r="AG2" t="s">
        <v>38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03</v>
      </c>
      <c r="Y3" t="str">
        <f>DEC2HEX(K6*2^0+K5*2^1+K4*2^2+K3*2^3+O6*2^4+O5*2^5+O4*2^6+O3*2^7,2)</f>
        <v>03</v>
      </c>
      <c r="Z3" t="str">
        <f>DEC2HEX(L6*2^0+L5*2^1+L4*2^2+L3*2^3+P6*2^4+P5*2^5+P4*2^6+P3*2^7,2)</f>
        <v>03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37</v>
      </c>
      <c r="AF3" t="s">
        <v>51</v>
      </c>
      <c r="AG3" t="s">
        <v>39</v>
      </c>
      <c r="AH3" t="s">
        <v>52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00</v>
      </c>
      <c r="V4" t="str">
        <f>DEC2HEX(D10*2^0+D9*2^1+D8*2^2+D7*2^3+H10*2^4+H9*2^5+H8*2^6+H7*2^7,2)</f>
        <v>10</v>
      </c>
      <c r="W4" t="str">
        <f>DEC2HEX(E10*2^0+E9*2^1+E8*2^2+E7*2^3+I10*2^4+I9*2^5+I8*2^6+I7*2^7,2)</f>
        <v>70</v>
      </c>
      <c r="X4" t="str">
        <f>DEC2HEX(J10*2^0+J9*2^1+J8*2^2+J7*2^3+N10*2^4+N9*2^5+N8*2^6+N7*2^7,2)</f>
        <v>0E</v>
      </c>
      <c r="Y4" t="str">
        <f>DEC2HEX(K10*2^0+K9*2^1+K8*2^2+K7*2^3+O10*2^4+O9*2^5+O8*2^6+O7*2^7,2)</f>
        <v>0C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33</v>
      </c>
      <c r="AF4" t="s">
        <v>38</v>
      </c>
      <c r="AG4" t="s">
        <v>36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10</v>
      </c>
      <c r="U5" t="str">
        <f>DEC2HEX(C14*2^0+C13*2^1+C12*2^2+C11*2^3+G14*2^4+G13*2^5+G12*2^6+G11*2^7,2)</f>
        <v>70</v>
      </c>
      <c r="V5" t="str">
        <f>DEC2HEX(D14*2^0+D13*2^1+D12*2^2+D11*2^3+H14*2^4+H13*2^5+H12*2^6+H11*2^7,2)</f>
        <v>E0</v>
      </c>
      <c r="W5" t="str">
        <f>DEC2HEX(E14*2^0+E13*2^1+E12*2^2+E11*2^3+I14*2^4+I13*2^5+I12*2^6+I11*2^7,2)</f>
        <v>80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51</v>
      </c>
      <c r="AF5" t="s">
        <v>39</v>
      </c>
      <c r="AG5" t="s">
        <v>62</v>
      </c>
      <c r="AH5" t="s">
        <v>54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1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E0</v>
      </c>
      <c r="U6" t="str">
        <f>DEC2HEX(C18*2^0+C17*2^1+C16*2^2+C15*2^3+G18*2^4+G17*2^5+G16*2^6+G15*2^7,2)</f>
        <v>80</v>
      </c>
      <c r="V6" t="str">
        <f>DEC2HEX(D18*2^0+D17*2^1+D16*2^2+D15*2^3+H18*2^4+H17*2^5+H16*2^6+H15*2^7,2)</f>
        <v>01</v>
      </c>
      <c r="W6" t="str">
        <f>DEC2HEX(E18*2^0+E17*2^1+E16*2^2+E15*2^3+I18*2^4+I17*2^5+I16*2^6+I15*2^7,2)</f>
        <v>07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35</v>
      </c>
      <c r="AE6" t="s">
        <v>42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66</v>
      </c>
      <c r="V7" t="str">
        <f>DEC2HEX(D22*2^0+D21*2^1+D20*2^2+D19*2^3+H22*2^4+H21*2^5+H20*2^6+H19*2^7,2)</f>
        <v>6E</v>
      </c>
      <c r="W7" t="str">
        <f>DEC2HEX(E22*2^0+E21*2^1+E20*2^2+E19*2^3+I22*2^4+I21*2^5+I20*2^6+I19*2^7,2)</f>
        <v>6E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06</v>
      </c>
      <c r="Z7" t="str">
        <f>DEC2HEX(L22*2^0+L21*2^1+L20*2^2+L19*2^3+P22*2^4+P21*2^5+P20*2^6+P19*2^7,2)</f>
        <v>06</v>
      </c>
      <c r="AA7" t="str">
        <f>DEC2HEX(M22*2^0+M21*2^1+M20*2^2+M19*2^3+Q22*2^4+Q21*2^5+Q20*2^6+Q19*2^7,2)</f>
        <v>00</v>
      </c>
      <c r="AC7" t="s">
        <v>31</v>
      </c>
      <c r="AD7" t="s">
        <v>35</v>
      </c>
      <c r="AE7" t="s">
        <v>48</v>
      </c>
      <c r="AF7" t="s">
        <v>37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1</v>
      </c>
      <c r="J8" s="10">
        <v>1</v>
      </c>
      <c r="K8" s="10">
        <v>1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35</v>
      </c>
      <c r="AE8" t="s">
        <v>37</v>
      </c>
      <c r="AF8" t="s">
        <v>37</v>
      </c>
      <c r="AG8" t="s">
        <v>37</v>
      </c>
      <c r="AH8" t="s">
        <v>47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1</v>
      </c>
      <c r="I10" s="10">
        <v>1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1</v>
      </c>
      <c r="I11" s="10">
        <v>1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1</v>
      </c>
      <c r="H12" s="10">
        <v>1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1</v>
      </c>
      <c r="H13" s="10">
        <v>1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Z_D2[6]={0x30,0x00,0x10,0xE0,0x60,0x00};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0x03</v>
      </c>
      <c r="Y14" t="str">
        <f t="shared" si="1"/>
        <v>0x03</v>
      </c>
      <c r="Z14" t="str">
        <f t="shared" si="1"/>
        <v>0x03</v>
      </c>
      <c r="AA14" t="str">
        <f t="shared" si="1"/>
        <v>0x00</v>
      </c>
      <c r="AC14" t="str">
        <f t="shared" si="0"/>
        <v>const uint8_t Z_C2[6]={0x33,0x00,0x70,0x80,0x66,0x00};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1</v>
      </c>
      <c r="G15" s="10">
        <v>1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0x00</v>
      </c>
      <c r="V15" t="str">
        <f t="shared" si="1"/>
        <v>0x10</v>
      </c>
      <c r="W15" t="str">
        <f t="shared" si="1"/>
        <v>0x70</v>
      </c>
      <c r="X15" t="str">
        <f t="shared" si="1"/>
        <v>0x0E</v>
      </c>
      <c r="Y15" t="str">
        <f t="shared" si="1"/>
        <v>0x0C</v>
      </c>
      <c r="Z15" t="str">
        <f t="shared" si="1"/>
        <v>0x00</v>
      </c>
      <c r="AA15" t="str">
        <f t="shared" si="1"/>
        <v>0x00</v>
      </c>
      <c r="AC15" t="str">
        <f t="shared" si="0"/>
        <v>const uint8_t Z_B2[6]={0x33,0x10,0xE0,0x01,0x6E,0x00};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0x10</v>
      </c>
      <c r="U16" t="str">
        <f t="shared" si="1"/>
        <v>0x70</v>
      </c>
      <c r="V16" t="str">
        <f t="shared" si="1"/>
        <v>0xE0</v>
      </c>
      <c r="W16" t="str">
        <f t="shared" si="1"/>
        <v>0x80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Z_A2[6]={0x33,0x70,0x80,0x07,0x6E,0x00};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0xE0</v>
      </c>
      <c r="U17" t="str">
        <f t="shared" si="1"/>
        <v>0x80</v>
      </c>
      <c r="V17" t="str">
        <f t="shared" si="1"/>
        <v>0x01</v>
      </c>
      <c r="W17" t="str">
        <f t="shared" si="1"/>
        <v>0x07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Z_D1[6]={0x03,0x0E,0x00,0x00,0x06,0x00};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0x66</v>
      </c>
      <c r="V18" t="str">
        <f t="shared" si="1"/>
        <v>0x6E</v>
      </c>
      <c r="W18" t="str">
        <f t="shared" si="1"/>
        <v>0x6E</v>
      </c>
      <c r="X18" t="str">
        <f t="shared" si="1"/>
        <v>0x06</v>
      </c>
      <c r="Y18" t="str">
        <f t="shared" si="1"/>
        <v>0x06</v>
      </c>
      <c r="Z18" t="str">
        <f t="shared" si="1"/>
        <v>0x06</v>
      </c>
      <c r="AA18" t="str">
        <f t="shared" si="1"/>
        <v>0x00</v>
      </c>
      <c r="AC18" t="str">
        <f t="shared" si="0"/>
        <v>const uint8_t Z_C1[6]={0x03,0x0C,0x00,0x00,0x06,0x00};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Z_B1[6]={0x03,0x00,0x00,0x00,0x06,0x00};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Z_A1[6]={0x00,0x00,0x00,0x00,0x00,0x00};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83" priority="1" operator="equal">
      <formula>2</formula>
    </cfRule>
    <cfRule type="cellIs" dxfId="82" priority="2" operator="equal">
      <formula>1</formula>
    </cfRule>
    <cfRule type="cellIs" dxfId="81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9B3F0-1C81-4EB3-8A96-456F97A319AC}">
  <sheetPr codeName="Planilha41"/>
  <dimension ref="A1:AI30"/>
  <sheetViews>
    <sheetView workbookViewId="0">
      <selection activeCell="AC2" sqref="AC2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33</v>
      </c>
      <c r="AG2" t="s">
        <v>39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33</v>
      </c>
      <c r="AG3" t="s">
        <v>95</v>
      </c>
      <c r="AH3" t="s">
        <v>46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31</v>
      </c>
      <c r="W4" t="str">
        <f>DEC2HEX(E10*2^0+E9*2^1+E8*2^2+E7*2^3+I10*2^4+I9*2^5+I8*2^6+I7*2^7,2)</f>
        <v>33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53</v>
      </c>
      <c r="AF4" t="s">
        <v>33</v>
      </c>
      <c r="AG4" t="s">
        <v>71</v>
      </c>
      <c r="AH4" t="s">
        <v>55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10</v>
      </c>
      <c r="U5" t="str">
        <f>DEC2HEX(C14*2^0+C13*2^1+C12*2^2+C11*2^3+G14*2^4+G13*2^5+G12*2^6+G11*2^7,2)</f>
        <v>10</v>
      </c>
      <c r="V5" t="str">
        <f>DEC2HEX(D14*2^0+D13*2^1+D12*2^2+D11*2^3+H14*2^4+H13*2^5+H12*2^6+H11*2^7,2)</f>
        <v>10</v>
      </c>
      <c r="W5" t="str">
        <f>DEC2HEX(E14*2^0+E13*2^1+E12*2^2+E11*2^3+I14*2^4+I13*2^5+I12*2^6+I11*2^7,2)</f>
        <v>10</v>
      </c>
      <c r="X5" t="str">
        <f>DEC2HEX(J14*2^0+J13*2^1+J12*2^2+J11*2^3+N14*2^4+N13*2^5+N12*2^6+N11*2^7,2)</f>
        <v>09</v>
      </c>
      <c r="Y5" t="str">
        <f>DEC2HEX(K14*2^0+K13*2^1+K12*2^2+K11*2^3+O14*2^4+O13*2^5+O12*2^6+O11*2^7,2)</f>
        <v>0F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60</v>
      </c>
      <c r="AF5" t="s">
        <v>33</v>
      </c>
      <c r="AG5" t="s">
        <v>96</v>
      </c>
      <c r="AH5" t="s">
        <v>97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80</v>
      </c>
      <c r="U6" t="str">
        <f>DEC2HEX(C18*2^0+C17*2^1+C16*2^2+C15*2^3+G18*2^4+G17*2^5+G16*2^6+G15*2^7,2)</f>
        <v>87</v>
      </c>
      <c r="V6" t="str">
        <f>DEC2HEX(D18*2^0+D17*2^1+D16*2^2+D15*2^3+H18*2^4+H17*2^5+H16*2^6+H15*2^7,2)</f>
        <v>8F</v>
      </c>
      <c r="W6" t="str">
        <f>DEC2HEX(E18*2^0+E17*2^1+E16*2^2+E15*2^3+I18*2^4+I17*2^5+I16*2^6+I15*2^7,2)</f>
        <v>8C</v>
      </c>
      <c r="X6" t="str">
        <f>DEC2HEX(J18*2^0+J17*2^1+J16*2^2+J15*2^3+N18*2^4+N17*2^5+N16*2^6+N15*2^7,2)</f>
        <v>08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56</v>
      </c>
      <c r="AG6" t="s">
        <v>41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68</v>
      </c>
      <c r="V7" t="str">
        <f>DEC2HEX(D22*2^0+D21*2^1+D20*2^2+D19*2^3+H22*2^4+H21*2^5+H20*2^6+H19*2^7,2)</f>
        <v>6C</v>
      </c>
      <c r="W7" t="str">
        <f>DEC2HEX(E22*2^0+E21*2^1+E20*2^2+E19*2^3+I22*2^4+I21*2^5+I20*2^6+I19*2^7,2)</f>
        <v>4E</v>
      </c>
      <c r="X7" t="str">
        <f>DEC2HEX(J22*2^0+J21*2^1+J20*2^2+J19*2^3+N22*2^4+N21*2^5+N20*2^6+N19*2^7,2)</f>
        <v>0C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40</v>
      </c>
      <c r="AG7" t="s">
        <v>40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40</v>
      </c>
      <c r="AG8" t="s">
        <v>40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a_D2[6]={0x00,0x30,0x10,0x80,0x60,0x00};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a_C2[6]={0x00,0x30,0x10,0x87,0x68,0x00};</v>
      </c>
    </row>
    <row r="15" spans="1:35" x14ac:dyDescent="0.25">
      <c r="A15">
        <v>12</v>
      </c>
      <c r="B15" s="10">
        <v>0</v>
      </c>
      <c r="C15" s="10">
        <v>0</v>
      </c>
      <c r="D15" s="10">
        <v>1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0x31</v>
      </c>
      <c r="W15" t="str">
        <f t="shared" si="1"/>
        <v>0x33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a_B2[6]={0x00,0x31,0x10,0x8F,0x6C,0x00};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0x10</v>
      </c>
      <c r="U16" t="str">
        <f t="shared" si="1"/>
        <v>0x10</v>
      </c>
      <c r="V16" t="str">
        <f t="shared" si="1"/>
        <v>0x10</v>
      </c>
      <c r="W16" t="str">
        <f t="shared" si="1"/>
        <v>0x10</v>
      </c>
      <c r="X16" t="str">
        <f t="shared" si="1"/>
        <v>0x09</v>
      </c>
      <c r="Y16" t="str">
        <f t="shared" si="1"/>
        <v>0x0F</v>
      </c>
      <c r="Z16" t="str">
        <f t="shared" si="1"/>
        <v>0x0F</v>
      </c>
      <c r="AA16" t="str">
        <f t="shared" si="1"/>
        <v>0x00</v>
      </c>
      <c r="AC16" t="str">
        <f t="shared" si="0"/>
        <v>const uint8_t a_A2[6]={0x00,0x33,0x10,0x8C,0x4E,0x00};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0x80</v>
      </c>
      <c r="U17" t="str">
        <f t="shared" si="1"/>
        <v>0x87</v>
      </c>
      <c r="V17" t="str">
        <f t="shared" si="1"/>
        <v>0x8F</v>
      </c>
      <c r="W17" t="str">
        <f t="shared" si="1"/>
        <v>0x8C</v>
      </c>
      <c r="X17" t="str">
        <f t="shared" si="1"/>
        <v>0x08</v>
      </c>
      <c r="Y17" t="str">
        <f t="shared" si="1"/>
        <v>0x0F</v>
      </c>
      <c r="Z17" t="str">
        <f t="shared" si="1"/>
        <v>0x0F</v>
      </c>
      <c r="AA17" t="str">
        <f t="shared" si="1"/>
        <v>0x00</v>
      </c>
      <c r="AC17" t="str">
        <f t="shared" si="0"/>
        <v>const uint8_t a_D1[6]={0x00,0x03,0x09,0x08,0x0C,0x00};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0x68</v>
      </c>
      <c r="V18" t="str">
        <f t="shared" si="1"/>
        <v>0x6C</v>
      </c>
      <c r="W18" t="str">
        <f t="shared" si="1"/>
        <v>0x4E</v>
      </c>
      <c r="X18" t="str">
        <f t="shared" si="1"/>
        <v>0x0C</v>
      </c>
      <c r="Y18" t="str">
        <f t="shared" si="1"/>
        <v>0x0E</v>
      </c>
      <c r="Z18" t="str">
        <f t="shared" si="1"/>
        <v>0x0E</v>
      </c>
      <c r="AA18" t="str">
        <f t="shared" si="1"/>
        <v>0x00</v>
      </c>
      <c r="AC18" t="str">
        <f t="shared" si="0"/>
        <v>const uint8_t a_C1[6]={0x00,0x01,0x0F,0x0F,0x0E,0x00};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1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a_B1[6]={0x00,0x00,0x0F,0x0F,0x0E,0x00};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a_A1[6]={0x00,0x00,0x00,0x00,0x00,0x00};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0</v>
      </c>
      <c r="J21" s="10">
        <v>0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80" priority="1" operator="equal">
      <formula>2</formula>
    </cfRule>
    <cfRule type="cellIs" dxfId="79" priority="2" operator="equal">
      <formula>1</formula>
    </cfRule>
    <cfRule type="cellIs" dxfId="78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21A6A-D80E-42B8-BD01-299208033B03}">
  <sheetPr codeName="Planilha42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37</v>
      </c>
      <c r="AG2" t="s">
        <v>37</v>
      </c>
      <c r="AH2" t="s">
        <v>63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07</v>
      </c>
      <c r="V3" t="str">
        <f>DEC2HEX(D6*2^0+D5*2^1+D4*2^2+D3*2^3+H6*2^4+H5*2^5+H4*2^6+H3*2^7,2)</f>
        <v>07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62</v>
      </c>
      <c r="AE3" t="s">
        <v>92</v>
      </c>
      <c r="AF3" t="s">
        <v>40</v>
      </c>
      <c r="AG3" t="s">
        <v>40</v>
      </c>
      <c r="AH3" t="s">
        <v>54</v>
      </c>
      <c r="AI3" t="s">
        <v>37</v>
      </c>
    </row>
    <row r="4" spans="1:35" x14ac:dyDescent="0.25">
      <c r="A4">
        <v>1</v>
      </c>
      <c r="B4" s="10">
        <v>0</v>
      </c>
      <c r="C4" s="10">
        <v>1</v>
      </c>
      <c r="D4" s="10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3F</v>
      </c>
      <c r="V4" t="str">
        <f>DEC2HEX(D10*2^0+D9*2^1+D8*2^2+D7*2^3+H10*2^4+H9*2^5+H8*2^6+H7*2^7,2)</f>
        <v>3F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62</v>
      </c>
      <c r="AE4" t="s">
        <v>92</v>
      </c>
      <c r="AF4" t="s">
        <v>40</v>
      </c>
      <c r="AG4" t="s">
        <v>40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07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01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0F</v>
      </c>
      <c r="AC6" t="s">
        <v>30</v>
      </c>
      <c r="AD6" t="s">
        <v>37</v>
      </c>
      <c r="AE6" t="s">
        <v>35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40</v>
      </c>
      <c r="U7" t="str">
        <f>DEC2HEX(C22*2^0+C21*2^1+C20*2^2+C19*2^3+G22*2^4+G21*2^5+G20*2^6+G19*2^7,2)</f>
        <v>6E</v>
      </c>
      <c r="V7" t="str">
        <f>DEC2HEX(D22*2^0+D21*2^1+D20*2^2+D19*2^3+H22*2^4+H21*2^5+H20*2^6+H19*2^7,2)</f>
        <v>6E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0C</v>
      </c>
      <c r="Z7" t="str">
        <f>DEC2HEX(L22*2^0+L21*2^1+L20*2^2+L19*2^3+P22*2^4+P21*2^5+P20*2^6+P19*2^7,2)</f>
        <v>08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48</v>
      </c>
      <c r="AG7" t="s">
        <v>36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40</v>
      </c>
      <c r="AG8" t="s">
        <v>40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62</v>
      </c>
      <c r="AG9" t="s">
        <v>40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b_D2[6]={0x00,0x10,0x00,0x00,0x40,0x00};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0x07</v>
      </c>
      <c r="V14" t="str">
        <f t="shared" si="1"/>
        <v>0x07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b_C2[6]={0x07,0x3F,0x0F,0x0F,0x6E,0x00};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0x3F</v>
      </c>
      <c r="V15" t="str">
        <f t="shared" si="1"/>
        <v>0x3F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b_B2[6]={0x07,0x3F,0x0F,0x0F,0x6E,0x00};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0x0C</v>
      </c>
      <c r="Z16" t="str">
        <f t="shared" si="1"/>
        <v>0x0F</v>
      </c>
      <c r="AA16" t="str">
        <f t="shared" si="1"/>
        <v>0x07</v>
      </c>
      <c r="AC16" t="str">
        <f t="shared" si="0"/>
        <v>const uint8_t b_A2[6]={0x00,0x31,0x0C,0x01,0x6C,0x00};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0x00</v>
      </c>
      <c r="Y17" t="str">
        <f t="shared" si="1"/>
        <v>0x01</v>
      </c>
      <c r="Z17" t="str">
        <f t="shared" si="1"/>
        <v>0x0F</v>
      </c>
      <c r="AA17" t="str">
        <f t="shared" si="1"/>
        <v>0x0F</v>
      </c>
      <c r="AC17" t="str">
        <f t="shared" si="0"/>
        <v>const uint8_t b_D1[6]={0x00,0x03,0x00,0x00,0x06,0x00};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0x40</v>
      </c>
      <c r="U18" t="str">
        <f t="shared" si="1"/>
        <v>0x6E</v>
      </c>
      <c r="V18" t="str">
        <f t="shared" si="1"/>
        <v>0x6E</v>
      </c>
      <c r="W18" t="str">
        <f t="shared" si="1"/>
        <v>0x6C</v>
      </c>
      <c r="X18" t="str">
        <f t="shared" si="1"/>
        <v>0x06</v>
      </c>
      <c r="Y18" t="str">
        <f t="shared" si="1"/>
        <v>0x0C</v>
      </c>
      <c r="Z18" t="str">
        <f t="shared" si="1"/>
        <v>0x08</v>
      </c>
      <c r="AA18" t="str">
        <f t="shared" si="1"/>
        <v>0x00</v>
      </c>
      <c r="AC18" t="str">
        <f t="shared" si="0"/>
        <v>const uint8_t b_C1[6]={0x00,0x01,0x0C,0x01,0x0C,0x00};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b_B1[6]={0x00,0x00,0x0F,0x0F,0x08,0x00};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b_A1[6]={0x00,0x00,0x07,0x0F,0x00,0x00};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77" priority="1" operator="equal">
      <formula>2</formula>
    </cfRule>
    <cfRule type="cellIs" dxfId="76" priority="2" operator="equal">
      <formula>1</formula>
    </cfRule>
    <cfRule type="cellIs" dxfId="75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B55592-64D4-4141-A91D-CEAF7B393AB1}">
  <sheetPr codeName="Planilha43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39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62</v>
      </c>
      <c r="AG3" t="s">
        <v>40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34</v>
      </c>
      <c r="AF4" t="s">
        <v>40</v>
      </c>
      <c r="AG4" t="s">
        <v>40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80</v>
      </c>
      <c r="U5" t="str">
        <f>DEC2HEX(C14*2^0+C13*2^1+C12*2^2+C11*2^3+G14*2^4+G13*2^5+G12*2^6+G11*2^7,2)</f>
        <v>07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04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37</v>
      </c>
      <c r="AG7" t="s">
        <v>37</v>
      </c>
      <c r="AH7" t="s">
        <v>67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c_D2[6]={0x00,0x30,0x80,0x00,0x60,0x00};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c_C2[6]={0x00,0x30,0x07,0x0F,0x60,0x00};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c_B2[6]={0x00,0x30,0x0F,0x0F,0x68,0x00};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0x80</v>
      </c>
      <c r="U16" t="str">
        <f t="shared" si="1"/>
        <v>0x07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c_A2[6]={0x00,0x31,0x0C,0x01,0x6C,0x00};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c_D1[6]={0x00,0x03,0x00,0x00,0x06,0x00};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0x06</v>
      </c>
      <c r="Y18" t="str">
        <f t="shared" si="1"/>
        <v>0x04</v>
      </c>
      <c r="Z18" t="str">
        <f t="shared" si="1"/>
        <v>0x00</v>
      </c>
      <c r="AA18" t="str">
        <f t="shared" si="1"/>
        <v>0x00</v>
      </c>
      <c r="AC18" t="str">
        <f t="shared" si="0"/>
        <v>const uint8_t c_C1[6]={0x00,0x01,0x00,0x00,0x04,0x00};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c_B1[6]={0x00,0x00,0x00,0x00,0x00,0x00};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c_A1[6]={0x00,0x00,0x00,0x00,0x00,0x00};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74" priority="1" operator="equal">
      <formula>2</formula>
    </cfRule>
    <cfRule type="cellIs" dxfId="73" priority="2" operator="equal">
      <formula>1</formula>
    </cfRule>
    <cfRule type="cellIs" dxfId="72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14D8D-B19D-4389-AE19-613CE81E40F9}">
  <sheetPr codeName="Planilha44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07</v>
      </c>
      <c r="AA3" t="str">
        <f>DEC2HEX(M6*2^0+M5*2^1+M4*2^2+M3*2^3+Q6*2^4+Q5*2^5+Q4*2^6+Q3*2^7,2)</f>
        <v>07</v>
      </c>
      <c r="AC3" t="s">
        <v>28</v>
      </c>
      <c r="AD3" t="s">
        <v>37</v>
      </c>
      <c r="AE3" t="s">
        <v>34</v>
      </c>
      <c r="AF3" t="s">
        <v>62</v>
      </c>
      <c r="AG3" t="s">
        <v>40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1</v>
      </c>
      <c r="M4" s="10">
        <v>1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01</v>
      </c>
      <c r="Y4" t="str">
        <f>DEC2HEX(K10*2^0+K9*2^1+K8*2^2+K7*2^3+O10*2^4+O9*2^5+O8*2^6+O7*2^7,2)</f>
        <v>01</v>
      </c>
      <c r="Z4" t="str">
        <f>DEC2HEX(L10*2^0+L9*2^1+L8*2^2+L7*2^3+P10*2^4+P9*2^5+P8*2^6+P7*2^7,2)</f>
        <v>0F</v>
      </c>
      <c r="AA4" t="str">
        <f>DEC2HEX(M10*2^0+M9*2^1+M8*2^2+M7*2^3+Q10*2^4+Q9*2^5+Q8*2^6+Q7*2^7,2)</f>
        <v>0F</v>
      </c>
      <c r="AC4" t="s">
        <v>29</v>
      </c>
      <c r="AD4" t="s">
        <v>37</v>
      </c>
      <c r="AE4" t="s">
        <v>34</v>
      </c>
      <c r="AF4" t="s">
        <v>40</v>
      </c>
      <c r="AG4" t="s">
        <v>40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1</v>
      </c>
      <c r="M5" s="10">
        <v>1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07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1</v>
      </c>
      <c r="M6" s="10">
        <v>1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01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0F</v>
      </c>
      <c r="AC6" t="s">
        <v>30</v>
      </c>
      <c r="AD6" t="s">
        <v>37</v>
      </c>
      <c r="AE6" t="s">
        <v>36</v>
      </c>
      <c r="AF6" t="s">
        <v>37</v>
      </c>
      <c r="AG6" t="s">
        <v>37</v>
      </c>
      <c r="AH6" t="s">
        <v>67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1</v>
      </c>
      <c r="M7" s="10">
        <v>1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04</v>
      </c>
      <c r="Y7" t="str">
        <f>DEC2HEX(K22*2^0+K21*2^1+K20*2^2+K19*2^3+O22*2^4+O21*2^5+O20*2^6+O19*2^7,2)</f>
        <v>0C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0E</v>
      </c>
      <c r="AC7" t="s">
        <v>31</v>
      </c>
      <c r="AD7" t="s">
        <v>37</v>
      </c>
      <c r="AE7" t="s">
        <v>36</v>
      </c>
      <c r="AF7" t="s">
        <v>48</v>
      </c>
      <c r="AG7" t="s">
        <v>36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1</v>
      </c>
      <c r="M8" s="10">
        <v>1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62</v>
      </c>
      <c r="AE8" t="s">
        <v>40</v>
      </c>
      <c r="AF8" t="s">
        <v>40</v>
      </c>
      <c r="AG8" t="s">
        <v>40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62</v>
      </c>
      <c r="AE9" t="s">
        <v>40</v>
      </c>
      <c r="AF9" t="s">
        <v>40</v>
      </c>
      <c r="AG9" t="s">
        <v>40</v>
      </c>
      <c r="AH9" t="s">
        <v>42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d_D2[6]={0x00,0x30,0x00,0x00,0x60,0x00};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0x07</v>
      </c>
      <c r="AA14" t="str">
        <f t="shared" si="1"/>
        <v>0x07</v>
      </c>
      <c r="AC14" t="str">
        <f t="shared" si="0"/>
        <v>const uint8_t d_C2[6]={0x00,0x30,0x07,0x0F,0x60,0x00};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0x01</v>
      </c>
      <c r="Y15" t="str">
        <f t="shared" si="1"/>
        <v>0x01</v>
      </c>
      <c r="Z15" t="str">
        <f t="shared" si="1"/>
        <v>0x0F</v>
      </c>
      <c r="AA15" t="str">
        <f t="shared" si="1"/>
        <v>0x0F</v>
      </c>
      <c r="AC15" t="str">
        <f t="shared" si="0"/>
        <v>const uint8_t d_B2[6]={0x00,0x30,0x0F,0x0F,0x68,0x00};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0x07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0x0C</v>
      </c>
      <c r="Z16" t="str">
        <f t="shared" si="1"/>
        <v>0x0F</v>
      </c>
      <c r="AA16" t="str">
        <f t="shared" si="1"/>
        <v>0x0F</v>
      </c>
      <c r="AC16" t="str">
        <f t="shared" si="0"/>
        <v>const uint8_t d_A2[6]={0x00,0x31,0x0C,0x01,0x6C,0x00};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0x00</v>
      </c>
      <c r="Y17" t="str">
        <f t="shared" si="1"/>
        <v>0x01</v>
      </c>
      <c r="Z17" t="str">
        <f t="shared" si="1"/>
        <v>0x0F</v>
      </c>
      <c r="AA17" t="str">
        <f t="shared" si="1"/>
        <v>0x0F</v>
      </c>
      <c r="AC17" t="str">
        <f t="shared" si="0"/>
        <v>const uint8_t d_D1[6]={0x00,0x01,0x00,0x00,0x04,0x00};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0x04</v>
      </c>
      <c r="Y18" t="str">
        <f t="shared" si="1"/>
        <v>0x0C</v>
      </c>
      <c r="Z18" t="str">
        <f t="shared" si="1"/>
        <v>0x0E</v>
      </c>
      <c r="AA18" t="str">
        <f t="shared" si="1"/>
        <v>0x0E</v>
      </c>
      <c r="AC18" t="str">
        <f t="shared" si="0"/>
        <v>const uint8_t d_C1[6]={0x00,0x01,0x0C,0x01,0x0C,0x00};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d_B1[6]={0x07,0x0F,0x0F,0x0F,0x0E,0x00};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d_A1[6]={0x07,0x0F,0x0F,0x0F,0x0E,0x00};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71" priority="1" operator="equal">
      <formula>2</formula>
    </cfRule>
    <cfRule type="cellIs" dxfId="70" priority="2" operator="equal">
      <formula>1</formula>
    </cfRule>
    <cfRule type="cellIs" dxfId="69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1513-3861-4D10-8852-0656017B195D}">
  <sheetPr codeName="Planilha45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33</v>
      </c>
      <c r="AG2" t="s">
        <v>39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79</v>
      </c>
      <c r="AG3" t="s">
        <v>98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01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34</v>
      </c>
      <c r="AF4" t="s">
        <v>68</v>
      </c>
      <c r="AG4" t="s">
        <v>71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10</v>
      </c>
      <c r="U5" t="str">
        <f>DEC2HEX(C14*2^0+C13*2^1+C12*2^2+C11*2^3+G14*2^4+G13*2^5+G12*2^6+G11*2^7,2)</f>
        <v>13</v>
      </c>
      <c r="V5" t="str">
        <f>DEC2HEX(D14*2^0+D13*2^1+D12*2^2+D11*2^3+H14*2^4+H13*2^5+H12*2^6+H11*2^7,2)</f>
        <v>1F</v>
      </c>
      <c r="W5" t="str">
        <f>DEC2HEX(E14*2^0+E13*2^1+E12*2^2+E11*2^3+I14*2^4+I13*2^5+I12*2^6+I11*2^7,2)</f>
        <v>1D</v>
      </c>
      <c r="X5" t="str">
        <f>DEC2HEX(J14*2^0+J13*2^1+J12*2^2+J11*2^3+N14*2^4+N13*2^5+N12*2^6+N11*2^7,2)</f>
        <v>01</v>
      </c>
      <c r="Y5" t="str">
        <f>DEC2HEX(K14*2^0+K13*2^1+K12*2^2+K11*2^3+O14*2^4+O13*2^5+O12*2^6+O11*2^7,2)</f>
        <v>09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07</v>
      </c>
      <c r="AC5" t="s">
        <v>2</v>
      </c>
      <c r="AD5" t="s">
        <v>37</v>
      </c>
      <c r="AE5" t="s">
        <v>53</v>
      </c>
      <c r="AF5" t="s">
        <v>99</v>
      </c>
      <c r="AG5" t="s">
        <v>100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80</v>
      </c>
      <c r="U6" t="str">
        <f>DEC2HEX(C18*2^0+C17*2^1+C16*2^2+C15*2^3+G18*2^4+G17*2^5+G16*2^6+G15*2^7,2)</f>
        <v>8E</v>
      </c>
      <c r="V6" t="str">
        <f>DEC2HEX(D18*2^0+D17*2^1+D16*2^2+D15*2^3+H18*2^4+H17*2^5+H16*2^6+H15*2^7,2)</f>
        <v>8F</v>
      </c>
      <c r="W6" t="str">
        <f>DEC2HEX(E18*2^0+E17*2^1+E16*2^2+E15*2^3+I18*2^4+I17*2^5+I16*2^6+I15*2^7,2)</f>
        <v>89</v>
      </c>
      <c r="X6" t="str">
        <f>DEC2HEX(J18*2^0+J17*2^1+J16*2^2+J15*2^3+N18*2^4+N17*2^5+N16*2^6+N15*2^7,2)</f>
        <v>08</v>
      </c>
      <c r="Y6" t="str">
        <f>DEC2HEX(K18*2^0+K17*2^1+K16*2^2+K15*2^3+O18*2^4+O17*2^5+O16*2^6+O15*2^7,2)</f>
        <v>08</v>
      </c>
      <c r="Z6" t="str">
        <f>DEC2HEX(L18*2^0+L17*2^1+L16*2^2+L15*2^3+P18*2^4+P17*2^5+P16*2^6+P15*2^7,2)</f>
        <v>08</v>
      </c>
      <c r="AA6" t="str">
        <f>DEC2HEX(M18*2^0+M17*2^1+M16*2^2+M15*2^3+Q18*2^4+Q17*2^5+Q16*2^6+Q15*2^7,2)</f>
        <v>08</v>
      </c>
      <c r="AC6" t="s">
        <v>30</v>
      </c>
      <c r="AD6" t="s">
        <v>37</v>
      </c>
      <c r="AE6" t="s">
        <v>35</v>
      </c>
      <c r="AF6" t="s">
        <v>36</v>
      </c>
      <c r="AG6" t="s">
        <v>41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06</v>
      </c>
      <c r="Z7" t="str">
        <f>DEC2HEX(L22*2^0+L21*2^1+L20*2^2+L19*2^3+P22*2^4+P21*2^5+P20*2^6+P19*2^7,2)</f>
        <v>06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56</v>
      </c>
      <c r="AG7" t="s">
        <v>41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36</v>
      </c>
      <c r="AF8" t="s">
        <v>40</v>
      </c>
      <c r="AG8" t="s">
        <v>41</v>
      </c>
      <c r="AH8" t="s">
        <v>47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62</v>
      </c>
      <c r="AG9" t="s">
        <v>41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e_D2[6]={0x00,0x30,0x10,0x80,0xE0,0x00};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1</v>
      </c>
      <c r="K14" s="10">
        <v>1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e_C2[6]={0x00,0x30,0x13,0x8E,0x60,0x00};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1</v>
      </c>
      <c r="K15" s="10">
        <v>1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0x01</v>
      </c>
      <c r="AA15" t="str">
        <f t="shared" si="1"/>
        <v>0x00</v>
      </c>
      <c r="AC15" t="str">
        <f t="shared" si="0"/>
        <v>const uint8_t e_B2[6]={0x00,0x30,0x1F,0x8F,0x68,0x00};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0x10</v>
      </c>
      <c r="U16" t="str">
        <f t="shared" si="1"/>
        <v>0x13</v>
      </c>
      <c r="V16" t="str">
        <f t="shared" si="1"/>
        <v>0x1F</v>
      </c>
      <c r="W16" t="str">
        <f t="shared" si="1"/>
        <v>0x1D</v>
      </c>
      <c r="X16" t="str">
        <f t="shared" si="1"/>
        <v>0x01</v>
      </c>
      <c r="Y16" t="str">
        <f t="shared" si="1"/>
        <v>0x09</v>
      </c>
      <c r="Z16" t="str">
        <f t="shared" si="1"/>
        <v>0x0F</v>
      </c>
      <c r="AA16" t="str">
        <f t="shared" si="1"/>
        <v>0x07</v>
      </c>
      <c r="AC16" t="str">
        <f t="shared" si="0"/>
        <v>const uint8_t e_A2[6]={0x00,0x31,0x1D,0x89,0x6C,0x00};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0x80</v>
      </c>
      <c r="U17" t="str">
        <f t="shared" si="1"/>
        <v>0x8E</v>
      </c>
      <c r="V17" t="str">
        <f t="shared" si="1"/>
        <v>0x8F</v>
      </c>
      <c r="W17" t="str">
        <f t="shared" si="1"/>
        <v>0x89</v>
      </c>
      <c r="X17" t="str">
        <f t="shared" si="1"/>
        <v>0x08</v>
      </c>
      <c r="Y17" t="str">
        <f t="shared" si="1"/>
        <v>0x08</v>
      </c>
      <c r="Z17" t="str">
        <f t="shared" si="1"/>
        <v>0x08</v>
      </c>
      <c r="AA17" t="str">
        <f t="shared" si="1"/>
        <v>0x08</v>
      </c>
      <c r="AC17" t="str">
        <f t="shared" si="0"/>
        <v>const uint8_t e_D1[6]={0x00,0x03,0x01,0x08,0x06,0x00};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0xE0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0x06</v>
      </c>
      <c r="Y18" t="str">
        <f t="shared" si="1"/>
        <v>0x06</v>
      </c>
      <c r="Z18" t="str">
        <f t="shared" si="1"/>
        <v>0x06</v>
      </c>
      <c r="AA18" t="str">
        <f t="shared" si="1"/>
        <v>0x00</v>
      </c>
      <c r="AC18" t="str">
        <f t="shared" si="0"/>
        <v>const uint8_t e_C1[6]={0x00,0x01,0x09,0x08,0x06,0x00};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e_B1[6]={0x00,0x01,0x0F,0x08,0x06,0x00};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e_A1[6]={0x00,0x00,0x07,0x08,0x00,0x00};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68" priority="1" operator="equal">
      <formula>2</formula>
    </cfRule>
    <cfRule type="cellIs" dxfId="67" priority="2" operator="equal">
      <formula>1</formula>
    </cfRule>
    <cfRule type="cellIs" dxfId="66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8D29B-2DD6-4DBD-A543-7383C97857C7}">
  <sheetPr codeName="Planilha46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51</v>
      </c>
      <c r="AE2" t="s">
        <v>43</v>
      </c>
      <c r="AF2" t="s">
        <v>43</v>
      </c>
      <c r="AG2" t="s">
        <v>43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70</v>
      </c>
      <c r="U3" t="str">
        <f>DEC2HEX(C6*2^0+C5*2^1+C4*2^2+C3*2^3+G6*2^4+G5*2^5+G4*2^6+G3*2^7,2)</f>
        <v>60</v>
      </c>
      <c r="V3" t="str">
        <f>DEC2HEX(D6*2^0+D5*2^1+D4*2^2+D3*2^3+H6*2^4+H5*2^5+H4*2^6+H3*2^7,2)</f>
        <v>60</v>
      </c>
      <c r="W3" t="str">
        <f>DEC2HEX(E6*2^0+E5*2^1+E4*2^2+E3*2^3+I6*2^4+I5*2^5+I4*2^6+I3*2^7,2)</f>
        <v>63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45</v>
      </c>
      <c r="AE3" t="s">
        <v>53</v>
      </c>
      <c r="AF3" t="s">
        <v>37</v>
      </c>
      <c r="AG3" t="s">
        <v>37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1</v>
      </c>
      <c r="G4" s="10">
        <v>1</v>
      </c>
      <c r="H4" s="10">
        <v>1</v>
      </c>
      <c r="I4" s="10">
        <v>1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F0</v>
      </c>
      <c r="U4" t="str">
        <f>DEC2HEX(C10*2^0+C9*2^1+C8*2^2+C7*2^3+G10*2^4+G9*2^5+G8*2^6+G7*2^7,2)</f>
        <v>31</v>
      </c>
      <c r="V4" t="str">
        <f>DEC2HEX(D10*2^0+D9*2^1+D8*2^2+D7*2^3+H10*2^4+H9*2^5+H8*2^6+H7*2^7,2)</f>
        <v>33</v>
      </c>
      <c r="W4" t="str">
        <f>DEC2HEX(E10*2^0+E9*2^1+E8*2^2+E7*2^3+I10*2^4+I9*2^5+I8*2^6+I7*2^7,2)</f>
        <v>3F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45</v>
      </c>
      <c r="AE4" t="s">
        <v>60</v>
      </c>
      <c r="AF4" t="s">
        <v>37</v>
      </c>
      <c r="AG4" t="s">
        <v>37</v>
      </c>
      <c r="AH4" t="s">
        <v>37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F0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101</v>
      </c>
      <c r="AE5" t="s">
        <v>92</v>
      </c>
      <c r="AF5" t="s">
        <v>40</v>
      </c>
      <c r="AG5" t="s">
        <v>40</v>
      </c>
      <c r="AH5" t="s">
        <v>42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1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0F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00</v>
      </c>
      <c r="W7" t="str">
        <f>DEC2HEX(E22*2^0+E21*2^1+E20*2^2+E19*2^3+I22*2^4+I21*2^5+I20*2^6+I19*2^7,2)</f>
        <v>0E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1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f_D2[6]={0x70,0xF0,0xF0,0xF0,0xE0,0x00};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0x70</v>
      </c>
      <c r="U14" t="str">
        <f t="shared" si="1"/>
        <v>0x60</v>
      </c>
      <c r="V14" t="str">
        <f t="shared" si="1"/>
        <v>0x60</v>
      </c>
      <c r="W14" t="str">
        <f t="shared" si="1"/>
        <v>0x63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f_C2[6]={0x60,0x31,0x00,0x00,0x00,0x00};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0xF0</v>
      </c>
      <c r="U15" t="str">
        <f t="shared" si="1"/>
        <v>0x31</v>
      </c>
      <c r="V15" t="str">
        <f t="shared" si="1"/>
        <v>0x33</v>
      </c>
      <c r="W15" t="str">
        <f t="shared" si="1"/>
        <v>0x3F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f_B2[6]={0x60,0x33,0x00,0x00,0x00,0x00};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0xF0</v>
      </c>
      <c r="U16" t="str">
        <f t="shared" si="1"/>
        <v>0x00</v>
      </c>
      <c r="V16" t="str">
        <f t="shared" si="1"/>
        <v>0x00</v>
      </c>
      <c r="W16" t="str">
        <f t="shared" si="1"/>
        <v>0x0F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f_A2[6]={0x63,0x3F,0x0F,0x0F,0x0E,0x00};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0xF0</v>
      </c>
      <c r="U17" t="str">
        <f t="shared" si="1"/>
        <v>0x00</v>
      </c>
      <c r="V17" t="str">
        <f t="shared" si="1"/>
        <v>0x00</v>
      </c>
      <c r="W17" t="str">
        <f t="shared" si="1"/>
        <v>0x0F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f_D1[6]={0x00,0x00,0x00,0x00,0x00,0x00};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0xE0</v>
      </c>
      <c r="U18" t="str">
        <f t="shared" si="1"/>
        <v>0x00</v>
      </c>
      <c r="V18" t="str">
        <f t="shared" si="1"/>
        <v>0x00</v>
      </c>
      <c r="W18" t="str">
        <f t="shared" si="1"/>
        <v>0x0E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f_C1[6]={0x00,0x00,0x00,0x00,0x00,0x00};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f_B1[6]={0x00,0x00,0x00,0x00,0x00,0x00};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f_A1[6]={0x00,0x00,0x00,0x00,0x00,0x00};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65" priority="1" operator="equal">
      <formula>2</formula>
    </cfRule>
    <cfRule type="cellIs" dxfId="64" priority="2" operator="equal">
      <formula>1</formula>
    </cfRule>
    <cfRule type="cellIs" dxfId="63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5564A-5F8F-44ED-9364-3E373811E2DC}">
  <sheetPr codeName="Planilha47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137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39</v>
      </c>
      <c r="AG2" t="s">
        <v>43</v>
      </c>
      <c r="AH2" t="s">
        <v>38</v>
      </c>
      <c r="AI2" t="s">
        <v>33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37</v>
      </c>
      <c r="AG3" t="s">
        <v>45</v>
      </c>
      <c r="AH3" t="s">
        <v>45</v>
      </c>
      <c r="AI3" t="s">
        <v>102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33</v>
      </c>
      <c r="Y4" t="str">
        <f>DEC2HEX(K10*2^0+K9*2^1+K8*2^2+K7*2^3+O10*2^4+O9*2^5+O8*2^6+O7*2^7,2)</f>
        <v>03</v>
      </c>
      <c r="Z4" t="str">
        <f>DEC2HEX(L10*2^0+L9*2^1+L8*2^2+L7*2^3+P10*2^4+P9*2^5+P8*2^6+P7*2^7,2)</f>
        <v>03</v>
      </c>
      <c r="AA4" t="str">
        <f>DEC2HEX(M10*2^0+M9*2^1+M8*2^2+M7*2^3+Q10*2^4+Q9*2^5+Q8*2^6+Q7*2^7,2)</f>
        <v>03</v>
      </c>
      <c r="AC4" t="s">
        <v>29</v>
      </c>
      <c r="AD4" t="s">
        <v>37</v>
      </c>
      <c r="AE4" t="s">
        <v>34</v>
      </c>
      <c r="AF4" t="s">
        <v>40</v>
      </c>
      <c r="AG4" t="s">
        <v>46</v>
      </c>
      <c r="AH4" t="s">
        <v>53</v>
      </c>
      <c r="AI4" t="s">
        <v>75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80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08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53</v>
      </c>
      <c r="AF5" t="s">
        <v>40</v>
      </c>
      <c r="AG5" t="s">
        <v>103</v>
      </c>
      <c r="AH5" t="s">
        <v>68</v>
      </c>
      <c r="AI5" t="s">
        <v>104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60</v>
      </c>
      <c r="V6" t="str">
        <f>DEC2HEX(D18*2^0+D17*2^1+D16*2^2+D15*2^3+H18*2^4+H17*2^5+H16*2^6+H15*2^7,2)</f>
        <v>68</v>
      </c>
      <c r="W6" t="str">
        <f>DEC2HEX(E18*2^0+E17*2^1+E16*2^2+E15*2^3+I18*2^4+I17*2^5+I16*2^6+I15*2^7,2)</f>
        <v>6D</v>
      </c>
      <c r="X6" t="str">
        <f>DEC2HEX(J18*2^0+J17*2^1+J16*2^2+J15*2^3+N18*2^4+N17*2^5+N16*2^6+N15*2^7,2)</f>
        <v>06</v>
      </c>
      <c r="Y6" t="str">
        <f>DEC2HEX(K18*2^0+K17*2^1+K16*2^2+K15*2^3+O18*2^4+O17*2^5+O16*2^6+O15*2^7,2)</f>
        <v>0E</v>
      </c>
      <c r="Z6" t="str">
        <f>DEC2HEX(L18*2^0+L17*2^1+L16*2^2+L15*2^3+P18*2^4+P17*2^5+P16*2^6+P15*2^7,2)</f>
        <v>0C</v>
      </c>
      <c r="AA6" t="str">
        <f>DEC2HEX(M18*2^0+M17*2^1+M16*2^2+M15*2^3+Q18*2^4+Q17*2^5+Q16*2^6+Q15*2^7,2)</f>
        <v>08</v>
      </c>
      <c r="AC6" t="s">
        <v>30</v>
      </c>
      <c r="AD6" t="s">
        <v>37</v>
      </c>
      <c r="AE6" t="s">
        <v>60</v>
      </c>
      <c r="AF6" t="s">
        <v>37</v>
      </c>
      <c r="AG6" t="s">
        <v>47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31</v>
      </c>
      <c r="W7" t="str">
        <f>DEC2HEX(E22*2^0+E21*2^1+E20*2^2+E19*2^3+I22*2^4+I21*2^5+I20*2^6+I19*2^7,2)</f>
        <v>1F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35</v>
      </c>
      <c r="AF7" t="s">
        <v>41</v>
      </c>
      <c r="AG7" t="s">
        <v>42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10</v>
      </c>
      <c r="U8" t="str">
        <f>DEC2HEX(C26*2^0+C25*2^1+C24*2^2+C23*2^3+G26*2^4+G25*2^5+G24*2^6+G23*2^7,2)</f>
        <v>3E</v>
      </c>
      <c r="V8" t="str">
        <f>DEC2HEX(D26*2^0+D25*2^1+D24*2^2+D23*2^3+H26*2^4+H25*2^5+H24*2^6+H23*2^7,2)</f>
        <v>FF</v>
      </c>
      <c r="W8" t="str">
        <f>DEC2HEX(E26*2^0+E25*2^1+E24*2^2+E23*2^3+I26*2^4+I25*2^5+I24*2^6+I23*2^7,2)</f>
        <v>E1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35</v>
      </c>
      <c r="AF8" t="s">
        <v>40</v>
      </c>
      <c r="AG8" t="s">
        <v>48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  <c r="L9" s="10">
        <v>1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35</v>
      </c>
      <c r="AF9" t="s">
        <v>40</v>
      </c>
      <c r="AG9" t="s">
        <v>41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1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1</v>
      </c>
      <c r="E13" s="10">
        <v>1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g_D2[6]={0x00,0x30,0x80,0xF0,0xE0,0x10};</v>
      </c>
    </row>
    <row r="14" spans="1:35" x14ac:dyDescent="0.25">
      <c r="A14">
        <v>11</v>
      </c>
      <c r="B14" s="10">
        <v>0</v>
      </c>
      <c r="C14" s="10">
        <v>0</v>
      </c>
      <c r="D14" s="10">
        <v>1</v>
      </c>
      <c r="E14" s="10">
        <v>1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g_C2[6]={0x00,0x30,0x00,0x60,0x60,0x3E};</v>
      </c>
    </row>
    <row r="15" spans="1:35" x14ac:dyDescent="0.25">
      <c r="A15">
        <v>12</v>
      </c>
      <c r="B15" s="10">
        <v>0</v>
      </c>
      <c r="C15" s="10">
        <v>0</v>
      </c>
      <c r="D15" s="10">
        <v>1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0x33</v>
      </c>
      <c r="Y15" t="str">
        <f t="shared" si="1"/>
        <v>0x03</v>
      </c>
      <c r="Z15" t="str">
        <f t="shared" si="1"/>
        <v>0x03</v>
      </c>
      <c r="AA15" t="str">
        <f t="shared" si="1"/>
        <v>0x03</v>
      </c>
      <c r="AC15" t="str">
        <f t="shared" si="0"/>
        <v>const uint8_t g_B2[6]={0x00,0x30,0x0F,0x68,0x31,0xFF};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1</v>
      </c>
      <c r="H16" s="10">
        <v>1</v>
      </c>
      <c r="I16" s="10">
        <v>1</v>
      </c>
      <c r="J16" s="10">
        <v>1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0x80</v>
      </c>
      <c r="U16" t="str">
        <f t="shared" si="1"/>
        <v>0x00</v>
      </c>
      <c r="V16" t="str">
        <f t="shared" si="1"/>
        <v>0x0F</v>
      </c>
      <c r="W16" t="str">
        <f t="shared" si="1"/>
        <v>0x0F</v>
      </c>
      <c r="X16" t="str">
        <f t="shared" si="1"/>
        <v>0x00</v>
      </c>
      <c r="Y16" t="str">
        <f t="shared" si="1"/>
        <v>0x08</v>
      </c>
      <c r="Z16" t="str">
        <f t="shared" si="1"/>
        <v>0x0F</v>
      </c>
      <c r="AA16" t="str">
        <f t="shared" si="1"/>
        <v>0x0F</v>
      </c>
      <c r="AC16" t="str">
        <f t="shared" si="0"/>
        <v>const uint8_t g_A2[6]={0x00,0x31,0x0F,0x6D,0x1F,0xE1};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1</v>
      </c>
      <c r="I17" s="10">
        <v>1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0xF0</v>
      </c>
      <c r="U17" t="str">
        <f t="shared" si="1"/>
        <v>0x60</v>
      </c>
      <c r="V17" t="str">
        <f t="shared" si="1"/>
        <v>0x68</v>
      </c>
      <c r="W17" t="str">
        <f t="shared" si="1"/>
        <v>0x6D</v>
      </c>
      <c r="X17" t="str">
        <f t="shared" si="1"/>
        <v>0x06</v>
      </c>
      <c r="Y17" t="str">
        <f t="shared" si="1"/>
        <v>0x0E</v>
      </c>
      <c r="Z17" t="str">
        <f t="shared" si="1"/>
        <v>0x0C</v>
      </c>
      <c r="AA17" t="str">
        <f t="shared" si="1"/>
        <v>0x08</v>
      </c>
      <c r="AC17" t="str">
        <f t="shared" si="0"/>
        <v>const uint8_t g_D1[6]={0x00,0x33,0x00,0x06,0x00,0x00};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0xE0</v>
      </c>
      <c r="U18" t="str">
        <f t="shared" si="1"/>
        <v>0x60</v>
      </c>
      <c r="V18" t="str">
        <f t="shared" si="1"/>
        <v>0x31</v>
      </c>
      <c r="W18" t="str">
        <f t="shared" si="1"/>
        <v>0x1F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g_C1[6]={0x00,0x03,0x08,0x0E,0x00,0x00};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0x10</v>
      </c>
      <c r="U19" t="str">
        <f t="shared" si="1"/>
        <v>0x3E</v>
      </c>
      <c r="V19" t="str">
        <f t="shared" si="1"/>
        <v>0xFF</v>
      </c>
      <c r="W19" t="str">
        <f t="shared" si="1"/>
        <v>0xE1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g_B1[6]={0x00,0x03,0x0F,0x0C,0x00,0x00};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g_A1[6]={0x00,0x03,0x0F,0x08,0x00,0x00};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1</v>
      </c>
      <c r="E22" s="10">
        <v>1</v>
      </c>
      <c r="F22" s="10">
        <v>0</v>
      </c>
      <c r="G22" s="10">
        <v>0</v>
      </c>
      <c r="H22" s="10">
        <v>1</v>
      </c>
      <c r="I22" s="10">
        <v>1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1</v>
      </c>
      <c r="D23" s="10">
        <v>1</v>
      </c>
      <c r="E23" s="10">
        <v>0</v>
      </c>
      <c r="F23" s="10">
        <v>0</v>
      </c>
      <c r="G23" s="10">
        <v>0</v>
      </c>
      <c r="H23" s="10">
        <v>1</v>
      </c>
      <c r="I23" s="10">
        <v>1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1</v>
      </c>
      <c r="D24" s="10">
        <v>1</v>
      </c>
      <c r="E24" s="10">
        <v>0</v>
      </c>
      <c r="F24" s="10">
        <v>0</v>
      </c>
      <c r="G24" s="10">
        <v>0</v>
      </c>
      <c r="H24" s="10">
        <v>1</v>
      </c>
      <c r="I24" s="10">
        <v>1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1</v>
      </c>
      <c r="D25" s="10">
        <v>1</v>
      </c>
      <c r="E25" s="10">
        <v>0</v>
      </c>
      <c r="F25" s="10">
        <v>0</v>
      </c>
      <c r="G25" s="10">
        <v>1</v>
      </c>
      <c r="H25" s="10">
        <v>1</v>
      </c>
      <c r="I25" s="10">
        <v>1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62" priority="1" operator="equal">
      <formula>2</formula>
    </cfRule>
    <cfRule type="cellIs" dxfId="61" priority="2" operator="equal">
      <formula>1</formula>
    </cfRule>
    <cfRule type="cellIs" dxfId="60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EA983-F775-45F8-BFC5-C1A9525A99AC}">
  <sheetPr codeName="Planilha48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138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07</v>
      </c>
      <c r="V3" t="str">
        <f>DEC2HEX(D6*2^0+D5*2^1+D4*2^2+D3*2^3+H6*2^4+H5*2^5+H4*2^6+H3*2^7,2)</f>
        <v>07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62</v>
      </c>
      <c r="AE3" t="s">
        <v>92</v>
      </c>
      <c r="AF3" t="s">
        <v>40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1</v>
      </c>
      <c r="D4" s="10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3F</v>
      </c>
      <c r="V4" t="str">
        <f>DEC2HEX(D10*2^0+D9*2^1+D8*2^2+D7*2^3+H10*2^4+H9*2^5+H8*2^6+H7*2^7,2)</f>
        <v>3F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62</v>
      </c>
      <c r="AE4" t="s">
        <v>92</v>
      </c>
      <c r="AF4" t="s">
        <v>40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08</v>
      </c>
      <c r="Y5" t="str">
        <f>DEC2HEX(K14*2^0+K13*2^1+K12*2^2+K11*2^3+O14*2^4+O13*2^5+O12*2^6+O11*2^7,2)</f>
        <v>0F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53</v>
      </c>
      <c r="AF5" t="s">
        <v>48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41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40</v>
      </c>
      <c r="AG7" t="s">
        <v>40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40</v>
      </c>
      <c r="AG8" t="s">
        <v>40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h_D2[6]={0x00,0x10,0x00,0x00,0x00,0x00};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0x07</v>
      </c>
      <c r="V14" t="str">
        <f t="shared" si="1"/>
        <v>0x07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h_C2[6]={0x07,0x3F,0x0F,0x0F,0x0E,0x00};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0x3F</v>
      </c>
      <c r="V15" t="str">
        <f t="shared" si="1"/>
        <v>0x3F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h_B2[6]={0x07,0x3F,0x0F,0x0F,0x0E,0x00};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0x0C</v>
      </c>
      <c r="X16" t="str">
        <f t="shared" si="1"/>
        <v>0x08</v>
      </c>
      <c r="Y16" t="str">
        <f t="shared" si="1"/>
        <v>0x0F</v>
      </c>
      <c r="Z16" t="str">
        <f t="shared" si="1"/>
        <v>0x0F</v>
      </c>
      <c r="AA16" t="str">
        <f t="shared" si="1"/>
        <v>0x00</v>
      </c>
      <c r="AC16" t="str">
        <f t="shared" si="0"/>
        <v>const uint8_t h_A2[6]={0x00,0x31,0x0C,0x00,0x00,0x00};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0x0F</v>
      </c>
      <c r="Z17" t="str">
        <f t="shared" si="1"/>
        <v>0x0F</v>
      </c>
      <c r="AA17" t="str">
        <f t="shared" si="1"/>
        <v>0x00</v>
      </c>
      <c r="AC17" t="str">
        <f t="shared" si="0"/>
        <v>const uint8_t h_D1[6]={0x00,0x03,0x08,0x00,0x00,0x00};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0x0E</v>
      </c>
      <c r="Z18" t="str">
        <f t="shared" si="1"/>
        <v>0x0E</v>
      </c>
      <c r="AA18" t="str">
        <f t="shared" si="1"/>
        <v>0x00</v>
      </c>
      <c r="AC18" t="str">
        <f t="shared" si="0"/>
        <v>const uint8_t h_C1[6]={0x00,0x01,0x0F,0x0F,0x0E,0x00};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h_B1[6]={0x00,0x00,0x0F,0x0F,0x0E,0x00};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h_A1[6]={0x00,0x00,0x00,0x00,0x00,0x00};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59" priority="1" operator="equal">
      <formula>2</formula>
    </cfRule>
    <cfRule type="cellIs" dxfId="58" priority="2" operator="equal">
      <formula>1</formula>
    </cfRule>
    <cfRule type="cellIs" dxfId="57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F810C-653E-451A-8104-D5A7E9DE2DBB}">
  <sheetPr codeName="Planilha49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139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07</v>
      </c>
      <c r="V3" t="str">
        <f>DEC2HEX(D6*2^0+D5*2^1+D4*2^2+D3*2^3+H6*2^4+H5*2^5+H4*2^6+H3*2^7,2)</f>
        <v>07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62</v>
      </c>
      <c r="AE3" t="s">
        <v>35</v>
      </c>
      <c r="AF3" t="s">
        <v>40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1</v>
      </c>
      <c r="D4" s="10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03</v>
      </c>
      <c r="V4" t="str">
        <f>DEC2HEX(D10*2^0+D9*2^1+D8*2^2+D7*2^3+H10*2^4+H9*2^5+H8*2^6+H7*2^7,2)</f>
        <v>03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62</v>
      </c>
      <c r="AE4" t="s">
        <v>35</v>
      </c>
      <c r="AF4" t="s">
        <v>40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i_D2[6]={0x00,0x00,0x00,0x00,0x00,0x00};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0x07</v>
      </c>
      <c r="V14" t="str">
        <f t="shared" si="1"/>
        <v>0x07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i_C2[6]={0x07,0x03,0x0F,0x0F,0x0E,0x00};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0x03</v>
      </c>
      <c r="V15" t="str">
        <f t="shared" si="1"/>
        <v>0x03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i_B2[6]={0x07,0x03,0x0F,0x0F,0x0E,0x00};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i_A2[6]={0x00,0x00,0x00,0x00,0x00,0x00};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i_D1[6]={0x00,0x00,0x00,0x00,0x00,0x00};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i_C1[6]={0x00,0x00,0x00,0x00,0x00,0x00};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i_B1[6]={0x00,0x00,0x00,0x00,0x00,0x00};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i_A1[6]={0x00,0x00,0x00,0x00,0x00,0x00};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27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56" priority="1" operator="equal">
      <formula>2</formula>
    </cfRule>
    <cfRule type="cellIs" dxfId="55" priority="2" operator="equal">
      <formula>1</formula>
    </cfRule>
    <cfRule type="cellIs" dxfId="54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83A8E-6BED-408C-8CCD-4787C2B7F041}">
  <sheetPr codeName="Planilha50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37</v>
      </c>
      <c r="AF3" t="s">
        <v>37</v>
      </c>
      <c r="AG3" t="s">
        <v>37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00</v>
      </c>
      <c r="V4" t="str">
        <f>DEC2HEX(D10*2^0+D9*2^1+D8*2^2+D7*2^3+H10*2^4+H9*2^5+H8*2^6+H7*2^7,2)</f>
        <v>00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37</v>
      </c>
      <c r="AF4" t="s">
        <v>37</v>
      </c>
      <c r="AG4" t="s">
        <v>37</v>
      </c>
      <c r="AH4" t="s">
        <v>37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00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j_D2[6]={0x00,0x00,0x00,0x00,0x00,0x00};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j_C2[6]={0x00,0x00,0x00,0x00,0x00,0x00};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0x00</v>
      </c>
      <c r="V15" t="str">
        <f t="shared" si="1"/>
        <v>0x00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j_B2[6]={0x00,0x00,0x00,0x00,0x00,0x00};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0x00</v>
      </c>
      <c r="U16" t="str">
        <f t="shared" si="1"/>
        <v>0x00</v>
      </c>
      <c r="V16" t="str">
        <f t="shared" si="1"/>
        <v>0x00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j_A2[6]={0x00,0x00,0x00,0x00,0x00,0x00};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0x00</v>
      </c>
      <c r="V17" t="str">
        <f t="shared" si="1"/>
        <v>0x00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j_D1[6]={0x00,0x00,0x00,0x00,0x00,0x00};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0x00</v>
      </c>
      <c r="V18" t="str">
        <f t="shared" si="1"/>
        <v>0x00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j_C1[6]={0x00,0x00,0x00,0x00,0x00,0x00};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j_B1[6]={0x00,0x00,0x00,0x00,0x00,0x00};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j_A1[6]={0x00,0x00,0x00,0x00,0x00,0x00};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53" priority="1" operator="equal">
      <formula>2</formula>
    </cfRule>
    <cfRule type="cellIs" dxfId="52" priority="2" operator="equal">
      <formula>1</formula>
    </cfRule>
    <cfRule type="cellIs" dxfId="51" priority="3" operator="equal">
      <formula>0</formula>
    </cfRule>
  </conditionalFormatting>
  <pageMargins left="0.511811024" right="0.511811024" top="0.78740157499999996" bottom="0.78740157499999996" header="0.31496062000000002" footer="0.3149606200000000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D05BE-4C92-4D3F-BCE3-25B7144BCE5D}">
  <sheetPr codeName="Planilha51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33</v>
      </c>
      <c r="AG2" t="s">
        <v>39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07</v>
      </c>
      <c r="V3" t="str">
        <f>DEC2HEX(D6*2^0+D5*2^1+D4*2^2+D3*2^3+H6*2^4+H5*2^5+H4*2^6+H3*2^7,2)</f>
        <v>07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62</v>
      </c>
      <c r="AE3" t="s">
        <v>40</v>
      </c>
      <c r="AF3" t="s">
        <v>70</v>
      </c>
      <c r="AG3" t="s">
        <v>65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1</v>
      </c>
      <c r="D4" s="10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10</v>
      </c>
      <c r="X4" t="str">
        <f>DEC2HEX(J10*2^0+J9*2^1+J8*2^2+J7*2^3+N10*2^4+N9*2^5+N8*2^6+N7*2^7,2)</f>
        <v>03</v>
      </c>
      <c r="Y4" t="str">
        <f>DEC2HEX(K10*2^0+K9*2^1+K8*2^2+K7*2^3+O10*2^4+O9*2^5+O8*2^6+O7*2^7,2)</f>
        <v>03</v>
      </c>
      <c r="Z4" t="str">
        <f>DEC2HEX(L10*2^0+L9*2^1+L8*2^2+L7*2^3+P10*2^4+P9*2^5+P8*2^6+P7*2^7,2)</f>
        <v>02</v>
      </c>
      <c r="AA4" t="str">
        <f>DEC2HEX(M10*2^0+M9*2^1+M8*2^2+M7*2^3+Q10*2^4+Q9*2^5+Q8*2^6+Q7*2^7,2)</f>
        <v>00</v>
      </c>
      <c r="AC4" t="s">
        <v>29</v>
      </c>
      <c r="AD4" t="s">
        <v>62</v>
      </c>
      <c r="AE4" t="s">
        <v>40</v>
      </c>
      <c r="AF4" t="s">
        <v>72</v>
      </c>
      <c r="AG4" t="s">
        <v>75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10</v>
      </c>
      <c r="U5" t="str">
        <f>DEC2HEX(C14*2^0+C13*2^1+C12*2^2+C11*2^3+G14*2^4+G13*2^5+G12*2^6+G11*2^7,2)</f>
        <v>7F</v>
      </c>
      <c r="V5" t="str">
        <f>DEC2HEX(D14*2^0+D13*2^1+D12*2^2+D11*2^3+H14*2^4+H13*2^5+H12*2^6+H11*2^7,2)</f>
        <v>EF</v>
      </c>
      <c r="W5" t="str">
        <f>DEC2HEX(E14*2^0+E13*2^1+E12*2^2+E11*2^3+I14*2^4+I13*2^5+I12*2^6+I11*2^7,2)</f>
        <v>C0</v>
      </c>
      <c r="X5" t="str">
        <f>DEC2HEX(J14*2^0+J13*2^1+J12*2^2+J11*2^3+N14*2^4+N13*2^5+N12*2^6+N11*2^7,2)</f>
        <v>08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33</v>
      </c>
      <c r="AF5" t="s">
        <v>44</v>
      </c>
      <c r="AG5" t="s">
        <v>77</v>
      </c>
      <c r="AH5" t="s">
        <v>39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80</v>
      </c>
      <c r="U6" t="str">
        <f>DEC2HEX(C18*2^0+C17*2^1+C16*2^2+C15*2^3+G18*2^4+G17*2^5+G16*2^6+G15*2^7,2)</f>
        <v>CF</v>
      </c>
      <c r="V6" t="str">
        <f>DEC2HEX(D18*2^0+D17*2^1+D16*2^2+D15*2^3+H18*2^4+H17*2^5+H16*2^6+H15*2^7,2)</f>
        <v>FF</v>
      </c>
      <c r="W6" t="str">
        <f>DEC2HEX(E18*2^0+E17*2^1+E16*2^2+E15*2^3+I18*2^4+I17*2^5+I16*2^6+I15*2^7,2)</f>
        <v>3C</v>
      </c>
      <c r="X6" t="str">
        <f>DEC2HEX(J18*2^0+J17*2^1+J16*2^2+J15*2^3+N18*2^4+N17*2^5+N16*2^6+N15*2^7,2)</f>
        <v>01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41</v>
      </c>
      <c r="AG6" t="s">
        <v>36</v>
      </c>
      <c r="AH6" t="s">
        <v>42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80</v>
      </c>
      <c r="X7" t="str">
        <f>DEC2HEX(J22*2^0+J21*2^1+J20*2^2+J19*2^3+N22*2^4+N21*2^5+N20*2^6+N19*2^7,2)</f>
        <v>0E</v>
      </c>
      <c r="Y7" t="str">
        <f>DEC2HEX(K22*2^0+K21*2^1+K20*2^2+K19*2^3+O22*2^4+O21*2^5+O20*2^6+O19*2^7,2)</f>
        <v>06</v>
      </c>
      <c r="Z7" t="str">
        <f>DEC2HEX(L22*2^0+L21*2^1+L20*2^2+L19*2^3+P22*2^4+P21*2^5+P20*2^6+P19*2^7,2)</f>
        <v>02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35</v>
      </c>
      <c r="AF7" t="s">
        <v>37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49</v>
      </c>
      <c r="AF8" t="s">
        <v>37</v>
      </c>
      <c r="AG8" t="s">
        <v>37</v>
      </c>
      <c r="AH8" t="s">
        <v>49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1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1</v>
      </c>
      <c r="I11" s="10">
        <v>1</v>
      </c>
      <c r="J11" s="10">
        <v>1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1</v>
      </c>
      <c r="H12" s="10">
        <v>1</v>
      </c>
      <c r="I12" s="10">
        <v>1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1</v>
      </c>
      <c r="H13" s="10">
        <v>1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k_D2[6]={0x00,0x00,0x10,0x80,0x00,0x00};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0x07</v>
      </c>
      <c r="V14" t="str">
        <f t="shared" si="1"/>
        <v>0x07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k_C2[6]={0x07,0x0F,0x7F,0xCF,0x0E,0x00};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1</v>
      </c>
      <c r="F15" s="10">
        <v>1</v>
      </c>
      <c r="G15" s="10">
        <v>1</v>
      </c>
      <c r="H15" s="10">
        <v>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0x10</v>
      </c>
      <c r="X15" t="str">
        <f t="shared" si="1"/>
        <v>0x03</v>
      </c>
      <c r="Y15" t="str">
        <f t="shared" si="1"/>
        <v>0x03</v>
      </c>
      <c r="Z15" t="str">
        <f t="shared" si="1"/>
        <v>0x02</v>
      </c>
      <c r="AA15" t="str">
        <f t="shared" si="1"/>
        <v>0x00</v>
      </c>
      <c r="AC15" t="str">
        <f t="shared" si="0"/>
        <v>const uint8_t k_B2[6]={0x07,0x0F,0xEF,0xFF,0x0E,0x00};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1</v>
      </c>
      <c r="F16" s="10">
        <v>0</v>
      </c>
      <c r="G16" s="10">
        <v>1</v>
      </c>
      <c r="H16" s="10">
        <v>1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0x10</v>
      </c>
      <c r="U16" t="str">
        <f t="shared" si="1"/>
        <v>0x7F</v>
      </c>
      <c r="V16" t="str">
        <f t="shared" si="1"/>
        <v>0xEF</v>
      </c>
      <c r="W16" t="str">
        <f t="shared" si="1"/>
        <v>0xC0</v>
      </c>
      <c r="X16" t="str">
        <f t="shared" si="1"/>
        <v>0x08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k_A2[6]={0x00,0x10,0xC0,0x3C,0x80,0x00};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1</v>
      </c>
      <c r="I17" s="10">
        <v>1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0x80</v>
      </c>
      <c r="U17" t="str">
        <f t="shared" si="1"/>
        <v>0xCF</v>
      </c>
      <c r="V17" t="str">
        <f t="shared" si="1"/>
        <v>0xFF</v>
      </c>
      <c r="W17" t="str">
        <f t="shared" si="1"/>
        <v>0x3C</v>
      </c>
      <c r="X17" t="str">
        <f t="shared" si="1"/>
        <v>0x01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k_D1[6]={0x00,0x03,0x08,0x01,0x0E,0x00};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1</v>
      </c>
      <c r="I18" s="10">
        <v>1</v>
      </c>
      <c r="J18" s="10">
        <v>1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0x80</v>
      </c>
      <c r="X18" t="str">
        <f t="shared" si="1"/>
        <v>0x0E</v>
      </c>
      <c r="Y18" t="str">
        <f t="shared" si="1"/>
        <v>0x06</v>
      </c>
      <c r="Z18" t="str">
        <f t="shared" si="1"/>
        <v>0x02</v>
      </c>
      <c r="AA18" t="str">
        <f t="shared" si="1"/>
        <v>0x00</v>
      </c>
      <c r="AC18" t="str">
        <f t="shared" si="0"/>
        <v>const uint8_t k_C1[6]={0x00,0x03,0x00,0x00,0x06,0x00};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1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k_B1[6]={0x00,0x02,0x00,0x00,0x02,0x00};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k_A1[6]={0x00,0x00,0x00,0x00,0x00,0x00};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1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50" priority="1" operator="equal">
      <formula>2</formula>
    </cfRule>
    <cfRule type="cellIs" dxfId="49" priority="2" operator="equal">
      <formula>1</formula>
    </cfRule>
    <cfRule type="cellIs" dxfId="48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BDC06-C398-48F7-BE59-A177C190D8D2}">
  <sheetPr codeName="Planilha52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07</v>
      </c>
      <c r="V3" t="str">
        <f>DEC2HEX(D6*2^0+D5*2^1+D4*2^2+D3*2^3+H6*2^4+H5*2^5+H4*2^6+H3*2^7,2)</f>
        <v>07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62</v>
      </c>
      <c r="AE3" t="s">
        <v>40</v>
      </c>
      <c r="AF3" t="s">
        <v>40</v>
      </c>
      <c r="AG3" t="s">
        <v>40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1</v>
      </c>
      <c r="D4" s="10">
        <v>1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62</v>
      </c>
      <c r="AE4" t="s">
        <v>40</v>
      </c>
      <c r="AF4" t="s">
        <v>40</v>
      </c>
      <c r="AG4" t="s">
        <v>40</v>
      </c>
      <c r="AH4" t="s">
        <v>37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00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l_D2[6]={0x00,0x00,0x00,0x00,0x00,0x00};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0x07</v>
      </c>
      <c r="V14" t="str">
        <f t="shared" si="1"/>
        <v>0x07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l_C2[6]={0x07,0x0F,0x0F,0x0F,0x00,0x00};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l_B2[6]={0x07,0x0F,0x0F,0x0F,0x00,0x00};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l_A2[6]={0x00,0x00,0x00,0x00,0x00,0x00};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l_D1[6]={0x00,0x00,0x00,0x00,0x00,0x00};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0x00</v>
      </c>
      <c r="V18" t="str">
        <f t="shared" si="1"/>
        <v>0x00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l_C1[6]={0x00,0x00,0x00,0x00,0x00,0x00};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l_B1[6]={0x00,0x00,0x00,0x00,0x00,0x00};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l_A1[6]={0x00,0x00,0x00,0x00,0x00,0x00};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47" priority="1" operator="equal">
      <formula>2</formula>
    </cfRule>
    <cfRule type="cellIs" dxfId="46" priority="2" operator="equal">
      <formula>1</formula>
    </cfRule>
    <cfRule type="cellIs" dxfId="45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433F7-71DE-4796-B965-36B52B92BED8}">
  <sheetPr codeName="Planilha53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37</v>
      </c>
      <c r="AF3" t="s">
        <v>37</v>
      </c>
      <c r="AG3" t="s">
        <v>37</v>
      </c>
      <c r="AH3" t="s">
        <v>37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00</v>
      </c>
      <c r="V4" t="str">
        <f>DEC2HEX(D10*2^0+D9*2^1+D8*2^2+D7*2^3+H10*2^4+H9*2^5+H8*2^6+H7*2^7,2)</f>
        <v>00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37</v>
      </c>
      <c r="AF4" t="s">
        <v>37</v>
      </c>
      <c r="AG4" t="s">
        <v>37</v>
      </c>
      <c r="AH4" t="s">
        <v>37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00</v>
      </c>
      <c r="V7" t="str">
        <f>DEC2HEX(D22*2^0+D21*2^1+D20*2^2+D19*2^3+H22*2^4+H21*2^5+H20*2^6+H19*2^7,2)</f>
        <v>00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m_D2[6]={0x00,0x00,0x00,0x00,0x00,0x00};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m_C2[6]={0x00,0x00,0x00,0x00,0x00,0x00};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T15" t="str">
        <f t="shared" si="1"/>
        <v>0x00</v>
      </c>
      <c r="U15" t="str">
        <f t="shared" si="1"/>
        <v>0x00</v>
      </c>
      <c r="V15" t="str">
        <f t="shared" si="1"/>
        <v>0x00</v>
      </c>
      <c r="W15" t="str">
        <f t="shared" si="1"/>
        <v>0x00</v>
      </c>
      <c r="X15" t="str">
        <f t="shared" si="1"/>
        <v>0x00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m_B2[6]={0x00,0x00,0x00,0x00,0x00,0x00};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T16" t="str">
        <f t="shared" si="1"/>
        <v>0x00</v>
      </c>
      <c r="U16" t="str">
        <f t="shared" si="1"/>
        <v>0x00</v>
      </c>
      <c r="V16" t="str">
        <f t="shared" si="1"/>
        <v>0x00</v>
      </c>
      <c r="W16" t="str">
        <f t="shared" si="1"/>
        <v>0x00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m_A2[6]={0x00,0x00,0x00,0x00,0x00,0x00};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T17" t="str">
        <f t="shared" si="1"/>
        <v>0x00</v>
      </c>
      <c r="U17" t="str">
        <f t="shared" si="1"/>
        <v>0x00</v>
      </c>
      <c r="V17" t="str">
        <f t="shared" si="1"/>
        <v>0x00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m_D1[6]={0x00,0x00,0x00,0x00,0x00,0x00};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T18" t="str">
        <f t="shared" si="1"/>
        <v>0x00</v>
      </c>
      <c r="U18" t="str">
        <f t="shared" si="1"/>
        <v>0x00</v>
      </c>
      <c r="V18" t="str">
        <f t="shared" si="1"/>
        <v>0x00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m_C1[6]={0x00,0x00,0x00,0x00,0x00,0x00};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m_B1[6]={0x00,0x00,0x00,0x00,0x00,0x00};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AC20" t="str">
        <f t="shared" si="0"/>
        <v>const uint8_t m_A1[6]={0x00,0x00,0x00,0x00,0x00,0x00};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44" priority="1" operator="equal">
      <formula>2</formula>
    </cfRule>
    <cfRule type="cellIs" dxfId="43" priority="2" operator="equal">
      <formula>1</formula>
    </cfRule>
    <cfRule type="cellIs" dxfId="42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44233-B90D-422F-9887-5B45F682ADF6}">
  <sheetPr codeName="Planilha54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37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60</v>
      </c>
      <c r="AF3" t="s">
        <v>40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33</v>
      </c>
      <c r="V4" t="str">
        <f>DEC2HEX(D10*2^0+D9*2^1+D8*2^2+D7*2^3+H10*2^4+H9*2^5+H8*2^6+H7*2^7,2)</f>
        <v>33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60</v>
      </c>
      <c r="AF4" t="s">
        <v>40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08</v>
      </c>
      <c r="Y5" t="str">
        <f>DEC2HEX(K14*2^0+K13*2^1+K12*2^2+K11*2^3+O14*2^4+O13*2^5+O12*2^6+O11*2^7,2)</f>
        <v>0F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53</v>
      </c>
      <c r="AF5" t="s">
        <v>48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41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40</v>
      </c>
      <c r="AG7" t="s">
        <v>40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40</v>
      </c>
      <c r="AG8" t="s">
        <v>40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n_D2[6]={0x00,0x10,0x00,0x00,0x00,0x00};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n_C2[6]={0x00,0x33,0x0F,0x0F,0x0E,0x00};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0x33</v>
      </c>
      <c r="V15" t="str">
        <f t="shared" si="1"/>
        <v>0x33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n_B2[6]={0x00,0x33,0x0F,0x0F,0x0E,0x00};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0x0C</v>
      </c>
      <c r="X16" t="str">
        <f t="shared" si="1"/>
        <v>0x08</v>
      </c>
      <c r="Y16" t="str">
        <f t="shared" si="1"/>
        <v>0x0F</v>
      </c>
      <c r="Z16" t="str">
        <f t="shared" si="1"/>
        <v>0x0F</v>
      </c>
      <c r="AA16" t="str">
        <f t="shared" si="1"/>
        <v>0x00</v>
      </c>
      <c r="AC16" t="str">
        <f t="shared" si="0"/>
        <v>const uint8_t n_A2[6]={0x00,0x31,0x0C,0x00,0x00,0x00};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0x0F</v>
      </c>
      <c r="Z17" t="str">
        <f t="shared" si="1"/>
        <v>0x0F</v>
      </c>
      <c r="AA17" t="str">
        <f t="shared" si="1"/>
        <v>0x00</v>
      </c>
      <c r="AC17" t="str">
        <f t="shared" si="0"/>
        <v>const uint8_t n_D1[6]={0x00,0x03,0x08,0x00,0x00,0x00};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0x0E</v>
      </c>
      <c r="Z18" t="str">
        <f t="shared" si="1"/>
        <v>0x0E</v>
      </c>
      <c r="AA18" t="str">
        <f t="shared" si="1"/>
        <v>0x00</v>
      </c>
      <c r="AC18" t="str">
        <f t="shared" si="0"/>
        <v>const uint8_t n_C1[6]={0x00,0x01,0x0F,0x0F,0x0E,0x00};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n_B1[6]={0x00,0x00,0x0F,0x0F,0x0E,0x00};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n_A1[6]={0x00,0x00,0x00,0x00,0x00,0x00};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41" priority="1" operator="equal">
      <formula>2</formula>
    </cfRule>
    <cfRule type="cellIs" dxfId="40" priority="2" operator="equal">
      <formula>1</formula>
    </cfRule>
    <cfRule type="cellIs" dxfId="39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C37FA-5A42-46B8-ABF4-851913A91B83}">
  <sheetPr codeName="Planilha55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145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39</v>
      </c>
      <c r="AG2" t="s">
        <v>37</v>
      </c>
      <c r="AH2" t="s">
        <v>38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62</v>
      </c>
      <c r="AG3" t="s">
        <v>42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03</v>
      </c>
      <c r="Z4" t="str">
        <f>DEC2HEX(L10*2^0+L9*2^1+L8*2^2+L7*2^3+P10*2^4+P9*2^5+P8*2^6+P7*2^7,2)</f>
        <v>01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34</v>
      </c>
      <c r="AF4" t="s">
        <v>40</v>
      </c>
      <c r="AG4" t="s">
        <v>40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80</v>
      </c>
      <c r="U5" t="str">
        <f>DEC2HEX(C14*2^0+C13*2^1+C12*2^2+C11*2^3+G14*2^4+G13*2^5+G12*2^6+G11*2^7,2)</f>
        <v>07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30</v>
      </c>
      <c r="Y5" t="str">
        <f>DEC2HEX(K14*2^0+K13*2^1+K12*2^2+K11*2^3+O14*2^4+O13*2^5+O12*2^6+O11*2^7,2)</f>
        <v>08</v>
      </c>
      <c r="Z5" t="str">
        <f>DEC2HEX(L14*2^0+L13*2^1+L12*2^2+L11*2^3+P14*2^4+P13*2^5+P12*2^6+P11*2^7,2)</f>
        <v>0C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0E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E0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01</v>
      </c>
      <c r="AA6" t="str">
        <f>DEC2HEX(M18*2^0+M17*2^1+M16*2^2+M15*2^3+Q18*2^4+Q17*2^5+Q16*2^6+Q15*2^7,2)</f>
        <v>0F</v>
      </c>
      <c r="AC6" t="s">
        <v>30</v>
      </c>
      <c r="AD6" t="s">
        <v>37</v>
      </c>
      <c r="AE6" t="s">
        <v>35</v>
      </c>
      <c r="AF6" t="s">
        <v>34</v>
      </c>
      <c r="AG6" t="s">
        <v>38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E0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0C</v>
      </c>
      <c r="AA7" t="str">
        <f>DEC2HEX(M22*2^0+M21*2^1+M20*2^2+M19*2^3+Q22*2^4+Q21*2^5+Q20*2^6+Q19*2^7,2)</f>
        <v>08</v>
      </c>
      <c r="AC7" t="s">
        <v>31</v>
      </c>
      <c r="AD7" t="s">
        <v>37</v>
      </c>
      <c r="AE7" t="s">
        <v>35</v>
      </c>
      <c r="AF7" t="s">
        <v>41</v>
      </c>
      <c r="AG7" t="s">
        <v>37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36</v>
      </c>
      <c r="AF8" t="s">
        <v>48</v>
      </c>
      <c r="AG8" t="s">
        <v>36</v>
      </c>
      <c r="AH8" t="s">
        <v>48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40</v>
      </c>
      <c r="AG9" t="s">
        <v>40</v>
      </c>
      <c r="AH9" t="s">
        <v>41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1</v>
      </c>
      <c r="N13" s="10">
        <v>1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o_D2[6]={0x00,0x30,0x80,0x00,0xE0,0x00};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1</v>
      </c>
      <c r="N14" s="10">
        <v>1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o_C2[6]={0x00,0x30,0x07,0x0E,0x60,0x00};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1</v>
      </c>
      <c r="N15" s="10">
        <v>1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0x03</v>
      </c>
      <c r="Y15" t="str">
        <f t="shared" si="1"/>
        <v>0x03</v>
      </c>
      <c r="Z15" t="str">
        <f t="shared" si="1"/>
        <v>0x01</v>
      </c>
      <c r="AA15" t="str">
        <f t="shared" si="1"/>
        <v>0x00</v>
      </c>
      <c r="AC15" t="str">
        <f t="shared" si="0"/>
        <v>const uint8_t o_B2[6]={0x00,0x30,0x0F,0x0F,0x68,0x00};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1</v>
      </c>
      <c r="N16" s="10">
        <v>1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0x80</v>
      </c>
      <c r="U16" t="str">
        <f t="shared" si="1"/>
        <v>0x07</v>
      </c>
      <c r="V16" t="str">
        <f t="shared" si="1"/>
        <v>0x0F</v>
      </c>
      <c r="W16" t="str">
        <f t="shared" si="1"/>
        <v>0x0C</v>
      </c>
      <c r="X16" t="str">
        <f t="shared" si="1"/>
        <v>0x30</v>
      </c>
      <c r="Y16" t="str">
        <f t="shared" si="1"/>
        <v>0x08</v>
      </c>
      <c r="Z16" t="str">
        <f t="shared" si="1"/>
        <v>0x0C</v>
      </c>
      <c r="AA16" t="str">
        <f t="shared" si="1"/>
        <v>0x0F</v>
      </c>
      <c r="AC16" t="str">
        <f t="shared" si="0"/>
        <v>const uint8_t o_A2[6]={0x00,0x31,0x0C,0x01,0x6C,0x00};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1</v>
      </c>
      <c r="N17" s="10">
        <v>1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0x0E</v>
      </c>
      <c r="V17" t="str">
        <f t="shared" si="1"/>
        <v>0x0F</v>
      </c>
      <c r="W17" t="str">
        <f t="shared" si="1"/>
        <v>0x01</v>
      </c>
      <c r="X17" t="str">
        <f t="shared" si="1"/>
        <v>0xE0</v>
      </c>
      <c r="Y17" t="str">
        <f t="shared" si="1"/>
        <v>0x00</v>
      </c>
      <c r="Z17" t="str">
        <f t="shared" si="1"/>
        <v>0x01</v>
      </c>
      <c r="AA17" t="str">
        <f t="shared" si="1"/>
        <v>0x0F</v>
      </c>
      <c r="AC17" t="str">
        <f t="shared" si="0"/>
        <v>const uint8_t o_D1[6]={0x00,0x03,0x30,0xE0,0x06,0x00};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0xE0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0x06</v>
      </c>
      <c r="Y18" t="str">
        <f t="shared" si="1"/>
        <v>0x0E</v>
      </c>
      <c r="Z18" t="str">
        <f t="shared" si="1"/>
        <v>0x0C</v>
      </c>
      <c r="AA18" t="str">
        <f t="shared" si="1"/>
        <v>0x08</v>
      </c>
      <c r="AC18" t="str">
        <f t="shared" si="0"/>
        <v>const uint8_t o_C1[6]={0x00,0x03,0x08,0x00,0x0E,0x00};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o_B1[6]={0x00,0x01,0x0C,0x01,0x0C,0x00};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o_A1[6]={0x00,0x00,0x0F,0x0F,0x08,0x00};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38" priority="1" operator="equal">
      <formula>2</formula>
    </cfRule>
    <cfRule type="cellIs" dxfId="37" priority="2" operator="equal">
      <formula>1</formula>
    </cfRule>
    <cfRule type="cellIs" dxfId="36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D2B7A-98E4-4EA7-AF2A-EA01CE47C59E}">
  <sheetPr codeName="Planilha56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146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37</v>
      </c>
      <c r="AG2" t="s">
        <v>37</v>
      </c>
      <c r="AH2" t="s">
        <v>63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60</v>
      </c>
      <c r="AF3" t="s">
        <v>40</v>
      </c>
      <c r="AG3" t="s">
        <v>40</v>
      </c>
      <c r="AH3" t="s">
        <v>78</v>
      </c>
      <c r="AI3" t="s">
        <v>40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33</v>
      </c>
      <c r="V4" t="str">
        <f>DEC2HEX(D10*2^0+D9*2^1+D8*2^2+D7*2^3+H10*2^4+H9*2^5+H8*2^6+H7*2^7,2)</f>
        <v>33</v>
      </c>
      <c r="W4" t="str">
        <f>DEC2HEX(E10*2^0+E9*2^1+E8*2^2+E7*2^3+I10*2^4+I9*2^5+I8*2^6+I7*2^7,2)</f>
        <v>31</v>
      </c>
      <c r="X4" t="str">
        <f>DEC2HEX(J10*2^0+J9*2^1+J8*2^2+J7*2^3+N10*2^4+N9*2^5+N8*2^6+N7*2^7,2)</f>
        <v>03</v>
      </c>
      <c r="Y4" t="str">
        <f>DEC2HEX(K10*2^0+K9*2^1+K8*2^2+K7*2^3+O10*2^4+O9*2^5+O8*2^6+O7*2^7,2)</f>
        <v>01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60</v>
      </c>
      <c r="AF4" t="s">
        <v>40</v>
      </c>
      <c r="AG4" t="s">
        <v>40</v>
      </c>
      <c r="AH4" t="s">
        <v>78</v>
      </c>
      <c r="AI4" t="s">
        <v>40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07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01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0F</v>
      </c>
      <c r="AC6" t="s">
        <v>30</v>
      </c>
      <c r="AD6" t="s">
        <v>37</v>
      </c>
      <c r="AE6" t="s">
        <v>35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40</v>
      </c>
      <c r="U7" t="str">
        <f>DEC2HEX(C22*2^0+C21*2^1+C20*2^2+C19*2^3+G22*2^4+G21*2^5+G20*2^6+G19*2^7,2)</f>
        <v>6F</v>
      </c>
      <c r="V7" t="str">
        <f>DEC2HEX(D22*2^0+D21*2^1+D20*2^2+D19*2^3+H22*2^4+H21*2^5+H20*2^6+H19*2^7,2)</f>
        <v>6F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0C</v>
      </c>
      <c r="Z7" t="str">
        <f>DEC2HEX(L22*2^0+L21*2^1+L20*2^2+L19*2^3+P22*2^4+P21*2^5+P20*2^6+P19*2^7,2)</f>
        <v>08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36</v>
      </c>
      <c r="AF7" t="s">
        <v>48</v>
      </c>
      <c r="AG7" t="s">
        <v>36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0F</v>
      </c>
      <c r="V8" t="str">
        <f>DEC2HEX(D26*2^0+D25*2^1+D24*2^2+D23*2^3+H26*2^4+H25*2^5+H24*2^6+H23*2^7,2)</f>
        <v>0F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40</v>
      </c>
      <c r="AG8" t="s">
        <v>40</v>
      </c>
      <c r="AH8" t="s">
        <v>41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62</v>
      </c>
      <c r="AG9" t="s">
        <v>40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p_D2[6]={0x00,0x10,0x00,0x00,0x40,0x00};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p_C2[6]={0x00,0x33,0x0F,0x0F,0x6F,0x0F};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0x33</v>
      </c>
      <c r="V15" t="str">
        <f t="shared" si="1"/>
        <v>0x33</v>
      </c>
      <c r="W15" t="str">
        <f t="shared" si="1"/>
        <v>0x31</v>
      </c>
      <c r="X15" t="str">
        <f t="shared" si="1"/>
        <v>0x03</v>
      </c>
      <c r="Y15" t="str">
        <f t="shared" si="1"/>
        <v>0x01</v>
      </c>
      <c r="Z15" t="str">
        <f t="shared" si="1"/>
        <v>0x00</v>
      </c>
      <c r="AA15" t="str">
        <f t="shared" si="1"/>
        <v>0x00</v>
      </c>
      <c r="AC15" t="str">
        <f t="shared" si="0"/>
        <v>const uint8_t p_B2[6]={0x00,0x33,0x0F,0x0F,0x6F,0x0F};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0x0C</v>
      </c>
      <c r="Z16" t="str">
        <f t="shared" si="1"/>
        <v>0x0F</v>
      </c>
      <c r="AA16" t="str">
        <f t="shared" si="1"/>
        <v>0x07</v>
      </c>
      <c r="AC16" t="str">
        <f t="shared" si="0"/>
        <v>const uint8_t p_A2[6]={0x00,0x31,0x0C,0x01,0x6C,0x00};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0x00</v>
      </c>
      <c r="Y17" t="str">
        <f t="shared" si="1"/>
        <v>0x01</v>
      </c>
      <c r="Z17" t="str">
        <f t="shared" si="1"/>
        <v>0x0F</v>
      </c>
      <c r="AA17" t="str">
        <f t="shared" si="1"/>
        <v>0x0F</v>
      </c>
      <c r="AC17" t="str">
        <f t="shared" si="0"/>
        <v>const uint8_t p_D1[6]={0x00,0x03,0x00,0x00,0x06,0x00};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0x40</v>
      </c>
      <c r="U18" t="str">
        <f t="shared" si="1"/>
        <v>0x6F</v>
      </c>
      <c r="V18" t="str">
        <f t="shared" si="1"/>
        <v>0x6F</v>
      </c>
      <c r="W18" t="str">
        <f t="shared" si="1"/>
        <v>0x6C</v>
      </c>
      <c r="X18" t="str">
        <f t="shared" si="1"/>
        <v>0x06</v>
      </c>
      <c r="Y18" t="str">
        <f t="shared" si="1"/>
        <v>0x0C</v>
      </c>
      <c r="Z18" t="str">
        <f t="shared" si="1"/>
        <v>0x08</v>
      </c>
      <c r="AA18" t="str">
        <f t="shared" si="1"/>
        <v>0x00</v>
      </c>
      <c r="AC18" t="str">
        <f t="shared" si="0"/>
        <v>const uint8_t p_C1[6]={0x00,0x01,0x0C,0x01,0x0C,0x00};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0x0F</v>
      </c>
      <c r="V19" t="str">
        <f t="shared" si="1"/>
        <v>0x0F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p_B1[6]={0x00,0x00,0x0F,0x0F,0x08,0x00};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p_A1[6]={0x00,0x00,0x07,0x0F,0x00,0x00};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1</v>
      </c>
      <c r="D22" s="10">
        <v>1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1</v>
      </c>
      <c r="D23" s="10">
        <v>1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1</v>
      </c>
      <c r="D24" s="10">
        <v>1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1</v>
      </c>
      <c r="D25" s="10">
        <v>1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1</v>
      </c>
      <c r="D26" s="10">
        <v>1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9">
        <v>0</v>
      </c>
      <c r="D27" s="9">
        <v>0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35" priority="1" operator="equal">
      <formula>2</formula>
    </cfRule>
    <cfRule type="cellIs" dxfId="34" priority="2" operator="equal">
      <formula>1</formula>
    </cfRule>
    <cfRule type="cellIs" dxfId="33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BC95-5233-4BE1-A125-B5D75E6BB90C}">
  <sheetPr codeName="Planilha57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147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62</v>
      </c>
      <c r="AG3" t="s">
        <v>40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30</v>
      </c>
      <c r="V4" t="str">
        <f>DEC2HEX(D10*2^0+D9*2^1+D8*2^2+D7*2^3+H10*2^4+H9*2^5+H8*2^6+H7*2^7,2)</f>
        <v>30</v>
      </c>
      <c r="W4" t="str">
        <f>DEC2HEX(E10*2^0+E9*2^1+E8*2^2+E7*2^3+I10*2^4+I9*2^5+I8*2^6+I7*2^7,2)</f>
        <v>31</v>
      </c>
      <c r="X4" t="str">
        <f>DEC2HEX(J10*2^0+J9*2^1+J8*2^2+J7*2^3+N10*2^4+N9*2^5+N8*2^6+N7*2^7,2)</f>
        <v>01</v>
      </c>
      <c r="Y4" t="str">
        <f>DEC2HEX(K10*2^0+K9*2^1+K8*2^2+K7*2^3+O10*2^4+O9*2^5+O8*2^6+O7*2^7,2)</f>
        <v>00</v>
      </c>
      <c r="Z4" t="str">
        <f>DEC2HEX(L10*2^0+L9*2^1+L8*2^2+L7*2^3+P10*2^4+P9*2^5+P8*2^6+P7*2^7,2)</f>
        <v>03</v>
      </c>
      <c r="AA4" t="str">
        <f>DEC2HEX(M10*2^0+M9*2^1+M8*2^2+M7*2^3+Q10*2^4+Q9*2^5+Q8*2^6+Q7*2^7,2)</f>
        <v>03</v>
      </c>
      <c r="AC4" t="s">
        <v>29</v>
      </c>
      <c r="AD4" t="s">
        <v>37</v>
      </c>
      <c r="AE4" t="s">
        <v>34</v>
      </c>
      <c r="AF4" t="s">
        <v>40</v>
      </c>
      <c r="AG4" t="s">
        <v>40</v>
      </c>
      <c r="AH4" t="s">
        <v>46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07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0C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0F</v>
      </c>
      <c r="AC5" t="s">
        <v>2</v>
      </c>
      <c r="AD5" t="s">
        <v>37</v>
      </c>
      <c r="AE5" t="s">
        <v>53</v>
      </c>
      <c r="AF5" t="s">
        <v>48</v>
      </c>
      <c r="AG5" t="s">
        <v>36</v>
      </c>
      <c r="AH5" t="s">
        <v>55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01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01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0F</v>
      </c>
      <c r="AC6" t="s">
        <v>30</v>
      </c>
      <c r="AD6" t="s">
        <v>37</v>
      </c>
      <c r="AE6" t="s">
        <v>36</v>
      </c>
      <c r="AF6" t="s">
        <v>37</v>
      </c>
      <c r="AG6" t="s">
        <v>37</v>
      </c>
      <c r="AH6" t="s">
        <v>67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68</v>
      </c>
      <c r="W7" t="str">
        <f>DEC2HEX(E22*2^0+E21*2^1+E20*2^2+E19*2^3+I22*2^4+I21*2^5+I20*2^6+I19*2^7,2)</f>
        <v>6C</v>
      </c>
      <c r="X7" t="str">
        <f>DEC2HEX(J22*2^0+J21*2^1+J20*2^2+J19*2^3+N22*2^4+N21*2^5+N20*2^6+N19*2^7,2)</f>
        <v>04</v>
      </c>
      <c r="Y7" t="str">
        <f>DEC2HEX(K22*2^0+K21*2^1+K20*2^2+K19*2^3+O22*2^4+O21*2^5+O20*2^6+O19*2^7,2)</f>
        <v>0C</v>
      </c>
      <c r="Z7" t="str">
        <f>DEC2HEX(L22*2^0+L21*2^1+L20*2^2+L19*2^3+P22*2^4+P21*2^5+P20*2^6+P19*2^7,2)</f>
        <v>0F</v>
      </c>
      <c r="AA7" t="str">
        <f>DEC2HEX(M22*2^0+M21*2^1+M20*2^2+M19*2^3+Q22*2^4+Q21*2^5+Q20*2^6+Q19*2^7,2)</f>
        <v>0F</v>
      </c>
      <c r="AC7" t="s">
        <v>31</v>
      </c>
      <c r="AD7" t="s">
        <v>37</v>
      </c>
      <c r="AE7" t="s">
        <v>37</v>
      </c>
      <c r="AF7" t="s">
        <v>48</v>
      </c>
      <c r="AG7" t="s">
        <v>36</v>
      </c>
      <c r="AH7" t="s">
        <v>48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0F</v>
      </c>
      <c r="AA8" t="str">
        <f>DEC2HEX(M26*2^0+M25*2^1+M24*2^2+M23*2^3+Q26*2^4+Q25*2^5+Q24*2^6+Q23*2^7,2)</f>
        <v>0F</v>
      </c>
      <c r="AC8" t="s">
        <v>32</v>
      </c>
      <c r="AD8" t="s">
        <v>37</v>
      </c>
      <c r="AE8" t="s">
        <v>35</v>
      </c>
      <c r="AF8" t="s">
        <v>40</v>
      </c>
      <c r="AG8" t="s">
        <v>40</v>
      </c>
      <c r="AH8" t="s">
        <v>40</v>
      </c>
      <c r="AI8" t="s">
        <v>40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0</v>
      </c>
      <c r="F9" s="10">
        <v>1</v>
      </c>
      <c r="G9" s="10">
        <v>1</v>
      </c>
      <c r="H9" s="10">
        <v>1</v>
      </c>
      <c r="I9" s="10">
        <v>1</v>
      </c>
      <c r="J9" s="10">
        <v>0</v>
      </c>
      <c r="K9" s="10">
        <v>0</v>
      </c>
      <c r="L9" s="10">
        <v>1</v>
      </c>
      <c r="M9" s="10">
        <v>1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35</v>
      </c>
      <c r="AF9" t="s">
        <v>40</v>
      </c>
      <c r="AG9" t="s">
        <v>40</v>
      </c>
      <c r="AH9" t="s">
        <v>40</v>
      </c>
      <c r="AI9" t="s">
        <v>40</v>
      </c>
    </row>
    <row r="10" spans="1:35" x14ac:dyDescent="0.25">
      <c r="A10">
        <v>7</v>
      </c>
      <c r="B10" s="10">
        <v>0</v>
      </c>
      <c r="C10" s="10">
        <v>0</v>
      </c>
      <c r="D10" s="10">
        <v>0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0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q_D2[6]={0x00,0x30,0x00,0x00,0x60,0x00};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1</v>
      </c>
      <c r="M14" s="10">
        <v>1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q_C2[6]={0x00,0x30,0x07,0x0F,0x60,0x00};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1</v>
      </c>
      <c r="M15" s="10">
        <v>1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0x30</v>
      </c>
      <c r="V15" t="str">
        <f t="shared" si="1"/>
        <v>0x30</v>
      </c>
      <c r="W15" t="str">
        <f t="shared" si="1"/>
        <v>0x31</v>
      </c>
      <c r="X15" t="str">
        <f t="shared" si="1"/>
        <v>0x01</v>
      </c>
      <c r="Y15" t="str">
        <f t="shared" si="1"/>
        <v>0x00</v>
      </c>
      <c r="Z15" t="str">
        <f t="shared" si="1"/>
        <v>0x03</v>
      </c>
      <c r="AA15" t="str">
        <f t="shared" si="1"/>
        <v>0x03</v>
      </c>
      <c r="AC15" t="str">
        <f t="shared" si="0"/>
        <v>const uint8_t q_B2[6]={0x00,0x30,0x0F,0x0F,0x68,0x00};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1</v>
      </c>
      <c r="M16" s="10">
        <v>1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0x07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0x0C</v>
      </c>
      <c r="Z16" t="str">
        <f t="shared" si="1"/>
        <v>0x0F</v>
      </c>
      <c r="AA16" t="str">
        <f t="shared" si="1"/>
        <v>0x0F</v>
      </c>
      <c r="AC16" t="str">
        <f t="shared" si="0"/>
        <v>const uint8_t q_A2[6]={0x00,0x31,0x0C,0x01,0x6C,0x00};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1</v>
      </c>
      <c r="M17" s="10">
        <v>1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0x01</v>
      </c>
      <c r="X17" t="str">
        <f t="shared" si="1"/>
        <v>0x00</v>
      </c>
      <c r="Y17" t="str">
        <f t="shared" si="1"/>
        <v>0x01</v>
      </c>
      <c r="Z17" t="str">
        <f t="shared" si="1"/>
        <v>0x0F</v>
      </c>
      <c r="AA17" t="str">
        <f t="shared" si="1"/>
        <v>0x0F</v>
      </c>
      <c r="AC17" t="str">
        <f t="shared" si="0"/>
        <v>const uint8_t q_D1[6]={0x00,0x01,0x00,0x00,0x04,0x00};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1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1</v>
      </c>
      <c r="L18" s="10">
        <v>1</v>
      </c>
      <c r="M18" s="10">
        <v>1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0x60</v>
      </c>
      <c r="V18" t="str">
        <f t="shared" si="1"/>
        <v>0x68</v>
      </c>
      <c r="W18" t="str">
        <f t="shared" si="1"/>
        <v>0x6C</v>
      </c>
      <c r="X18" t="str">
        <f t="shared" si="1"/>
        <v>0x04</v>
      </c>
      <c r="Y18" t="str">
        <f t="shared" si="1"/>
        <v>0x0C</v>
      </c>
      <c r="Z18" t="str">
        <f t="shared" si="1"/>
        <v>0x0F</v>
      </c>
      <c r="AA18" t="str">
        <f t="shared" si="1"/>
        <v>0x0F</v>
      </c>
      <c r="AC18" t="str">
        <f t="shared" si="0"/>
        <v>const uint8_t q_C1[6]={0x00,0x00,0x0C,0x01,0x0C,0x00};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1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0x0F</v>
      </c>
      <c r="AA19" t="str">
        <f t="shared" si="1"/>
        <v>0x0F</v>
      </c>
      <c r="AC19" t="str">
        <f t="shared" si="0"/>
        <v>const uint8_t q_B1[6]={0x00,0x03,0x0F,0x0F,0x0F,0x0F};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q_A1[6]={0x00,0x03,0x0F,0x0F,0x0F,0x0F};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1</v>
      </c>
      <c r="M21" s="10">
        <v>1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1</v>
      </c>
      <c r="M22" s="10">
        <v>1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1</v>
      </c>
      <c r="M23" s="10">
        <v>1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1</v>
      </c>
      <c r="M24" s="10">
        <v>1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1</v>
      </c>
      <c r="M25" s="10">
        <v>1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1</v>
      </c>
      <c r="M26" s="10">
        <v>1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32" priority="1" operator="equal">
      <formula>2</formula>
    </cfRule>
    <cfRule type="cellIs" dxfId="31" priority="2" operator="equal">
      <formula>1</formula>
    </cfRule>
    <cfRule type="cellIs" dxfId="30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0B593-9050-4F05-A279-62FE3CBDD543}">
  <sheetPr codeName="Planilha58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148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39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60</v>
      </c>
      <c r="AF3" t="s">
        <v>40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33</v>
      </c>
      <c r="V4" t="str">
        <f>DEC2HEX(D10*2^0+D9*2^1+D8*2^2+D7*2^3+H10*2^4+H9*2^5+H8*2^6+H7*2^7,2)</f>
        <v>33</v>
      </c>
      <c r="W4" t="str">
        <f>DEC2HEX(E10*2^0+E9*2^1+E8*2^2+E7*2^3+I10*2^4+I9*2^5+I8*2^6+I7*2^7,2)</f>
        <v>30</v>
      </c>
      <c r="X4" t="str">
        <f>DEC2HEX(J10*2^0+J9*2^1+J8*2^2+J7*2^3+N10*2^4+N9*2^5+N8*2^6+N7*2^7,2)</f>
        <v>03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60</v>
      </c>
      <c r="AF4" t="s">
        <v>40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80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0C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34</v>
      </c>
      <c r="AF5" t="s">
        <v>48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37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r_D2[6]={0x00,0x10,0x80,0x00,0x00,0x00};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r_C2[6]={0x00,0x33,0x0F,0x0F,0x0E,0x00};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0x33</v>
      </c>
      <c r="V15" t="str">
        <f t="shared" si="1"/>
        <v>0x33</v>
      </c>
      <c r="W15" t="str">
        <f t="shared" si="1"/>
        <v>0x30</v>
      </c>
      <c r="X15" t="str">
        <f t="shared" si="1"/>
        <v>0x03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r_B2[6]={0x00,0x33,0x0F,0x0F,0x0E,0x00};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0x80</v>
      </c>
      <c r="U16" t="str">
        <f t="shared" si="1"/>
        <v>0x0F</v>
      </c>
      <c r="V16" t="str">
        <f t="shared" si="1"/>
        <v>0x0F</v>
      </c>
      <c r="W16" t="str">
        <f t="shared" si="1"/>
        <v>0x0C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r_A2[6]={0x00,0x30,0x0C,0x00,0x00,0x00};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r_D1[6]={0x00,0x03,0x00,0x00,0x00,0x00};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r_C1[6]={0x00,0x00,0x00,0x00,0x00,0x00};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r_B1[6]={0x00,0x00,0x00,0x00,0x00,0x00};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r_A1[6]={0x00,0x00,0x00,0x00,0x00,0x00};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29" priority="1" operator="equal">
      <formula>2</formula>
    </cfRule>
    <cfRule type="cellIs" dxfId="28" priority="2" operator="equal">
      <formula>1</formula>
    </cfRule>
    <cfRule type="cellIs" dxfId="27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09F44-A42A-4FBF-91F1-806B44CACD62}">
  <sheetPr codeName="Planilha59"/>
  <dimension ref="A1:AI30"/>
  <sheetViews>
    <sheetView workbookViewId="0">
      <selection activeCell="AC13" sqref="AC13:AC20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149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35</v>
      </c>
      <c r="AF2" t="s">
        <v>33</v>
      </c>
      <c r="AG2" t="s">
        <v>41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00</v>
      </c>
      <c r="V3" s="28" t="str">
        <f>DEC2HEX(D6*2^0+D5*2^1+D4*2^2+D3*2^3+H6*2^4+H5*2^5+H4*2^6+H3*2^7,2)</f>
        <v>00</v>
      </c>
      <c r="W3" s="28" t="str">
        <f>DEC2HEX(E6*2^0+E5*2^1+E4*2^2+E3*2^3+I6*2^4+I5*2^5+I4*2^6+I3*2^7,2)</f>
        <v>00</v>
      </c>
      <c r="X3" s="28" t="str">
        <f>DEC2HEX(J6*2^0+J5*2^1+J4*2^2+J3*2^3+N6*2^4+N5*2^5+N4*2^6+N3*2^7,2)</f>
        <v>00</v>
      </c>
      <c r="Y3" s="28" t="str">
        <f t="shared" ref="Y3" si="0">DEC2HEX(K6*2^0+K5*2^1+K4*2^2+K3*2^3+O6*2^4+O5*2^5+O4*2^6+O3*2^7,2)</f>
        <v>00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37</v>
      </c>
      <c r="AE3" t="s">
        <v>35</v>
      </c>
      <c r="AF3" t="s">
        <v>105</v>
      </c>
      <c r="AG3" t="s">
        <v>41</v>
      </c>
      <c r="AH3" t="s">
        <v>106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s="28" t="str">
        <f>DEC2HEX(B10*2^4+B9*2^5+B8*2^6+B7*2^7+F10*2^0+F9*2^1+F8*2^2+F7*2^3,2)</f>
        <v>03</v>
      </c>
      <c r="U4" s="28" t="str">
        <f>DEC2HEX(C10*2^4+C9*2^5+C8*2^6+C7*2^7+G10*2^0+G9*2^1+G8*2^2+G7*2^3,2)</f>
        <v>03</v>
      </c>
      <c r="V4" s="28" t="str">
        <f>DEC2HEX(D10*2^4+D9*2^5+D8*2^6+D7*2^7+H10*2^0+H9*2^1+H8*2^2+H7*2^3,2)</f>
        <v>13</v>
      </c>
      <c r="W4" s="28" t="str">
        <f>DEC2HEX(E10*2^4+E9*2^5+E8*2^6+E7*2^7+I10*2^0+I9*2^1+I8*2^2+I7*2^3,2)</f>
        <v>33</v>
      </c>
      <c r="X4" s="28" t="str">
        <f>DEC2HEX(J10*2^4+J9*2^5+J8*2^6+J7*2^7+N10*2^0+N9*2^1+N8*2^2+N7*2^3,2)</f>
        <v>30</v>
      </c>
      <c r="Y4" s="28" t="str">
        <f>DEC2HEX(K10*2^4+K9*2^5+K8*2^6+K7*2^7+O10*2^0+O9*2^1+O8*2^2+O7*2^3,2)</f>
        <v>10</v>
      </c>
      <c r="Z4" s="28" t="str">
        <f>DEC2HEX(L10*2^4+L9*2^5+L8*2^6+L7*2^7+P10*2^0+P9*2^1+P8*2^2+P7*2^3,2)</f>
        <v>00</v>
      </c>
      <c r="AA4" s="28" t="str">
        <f>DEC2HEX(M10*2^4+M9*2^5+M8*2^6+M7*2^7+Q10*2^0+Q9*2^1+Q8*2^2+Q7*2^3,2)</f>
        <v>00</v>
      </c>
      <c r="AC4" t="s">
        <v>29</v>
      </c>
      <c r="AD4" t="s">
        <v>37</v>
      </c>
      <c r="AE4" t="s">
        <v>79</v>
      </c>
      <c r="AF4" t="s">
        <v>40</v>
      </c>
      <c r="AG4" t="s">
        <v>48</v>
      </c>
      <c r="AH4" t="s">
        <v>52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s="28" t="str">
        <f t="shared" ref="T5:U5" si="1">DEC2HEX(B14*2^0+B13*2^1+B12*2^2+B11*2^3+F14*2^4+F13*2^5+F12*2^6+F11*2^7,2)</f>
        <v>10</v>
      </c>
      <c r="U5" s="28" t="str">
        <f t="shared" si="1"/>
        <v>1E</v>
      </c>
      <c r="V5" s="28" t="str">
        <f>DEC2HEX(D14*2^0+D13*2^1+D12*2^2+D11*2^3+H14*2^4+H13*2^5+H12*2^6+H11*2^7,2)</f>
        <v>0F</v>
      </c>
      <c r="W5" s="28" t="str">
        <f t="shared" ref="W5" si="2">DEC2HEX(E14*2^0+E13*2^1+E12*2^2+E11*2^3+I14*2^4+I13*2^5+I12*2^6+I11*2^7,2)</f>
        <v>03</v>
      </c>
      <c r="X5" s="28" t="str">
        <f t="shared" ref="X5:Y5" si="3">DEC2HEX(J14*2^0+J13*2^1+J12*2^2+J11*2^3+N14*2^4+N13*2^5+N12*2^6+N11*2^7,2)</f>
        <v>00</v>
      </c>
      <c r="Y5" s="28" t="str">
        <f t="shared" si="3"/>
        <v>00</v>
      </c>
      <c r="Z5" s="28" t="str">
        <f>DEC2HEX(L14*2^0+L13*2^1+L12*2^2+L11*2^3+P14*2^4+P13*2^5+P12*2^6+P11*2^7,2)</f>
        <v>00</v>
      </c>
      <c r="AA5" s="28" t="str">
        <f>DEC2HEX(M14*2^0+M13*2^1+M12*2^2+M11*2^3+Q14*2^4+Q13*2^5+Q12*2^6+Q11*2^7,2)</f>
        <v>00</v>
      </c>
      <c r="AC5" t="s">
        <v>2</v>
      </c>
      <c r="AD5" t="s">
        <v>37</v>
      </c>
      <c r="AE5" t="s">
        <v>60</v>
      </c>
      <c r="AF5" t="s">
        <v>35</v>
      </c>
      <c r="AG5" t="s">
        <v>98</v>
      </c>
      <c r="AH5" t="s">
        <v>82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s="28" t="str">
        <f t="shared" ref="T6:U6" si="4">DEC2HEX(B18*2^4+B17*2^5+B16*2^6+B15*2^7+F18*2^0+F17*2^1+F16*2^2+F15*2^3,2)</f>
        <v>08</v>
      </c>
      <c r="U6" s="28" t="str">
        <f t="shared" si="4"/>
        <v>08</v>
      </c>
      <c r="V6" s="28" t="str">
        <f>DEC2HEX(D18*2^4+D17*2^5+D16*2^6+D15*2^7+H18*2^0+H17*2^1+H16*2^2+H15*2^3,2)</f>
        <v>0C</v>
      </c>
      <c r="W6" s="28" t="str">
        <f t="shared" ref="W6" si="5">DEC2HEX(E18*2^4+E17*2^5+E16*2^6+E15*2^7+I18*2^0+I17*2^1+I16*2^2+I15*2^3,2)</f>
        <v>8E</v>
      </c>
      <c r="X6" s="28" t="str">
        <f t="shared" ref="X6:Y6" si="6">DEC2HEX(J18*2^4+J17*2^5+J16*2^6+J15*2^7+N18*2^0+N17*2^1+N16*2^2+N15*2^3,2)</f>
        <v>70</v>
      </c>
      <c r="Y6" s="28" t="str">
        <f t="shared" si="6"/>
        <v>30</v>
      </c>
      <c r="Z6" s="28" t="str">
        <f>DEC2HEX(L18*2^4+L17*2^5+L16*2^6+L15*2^7+P18*2^0+P17*2^1+P16*2^2+P15*2^3,2)</f>
        <v>00</v>
      </c>
      <c r="AA6" s="28" t="str">
        <f>DEC2HEX(M18*2^4+M17*2^5+M16*2^6+M15*2^7+Q18*2^0+Q17*2^1+Q16*2^2+Q15*2^3,2)</f>
        <v>00</v>
      </c>
      <c r="AC6" t="s">
        <v>30</v>
      </c>
      <c r="AD6" t="s">
        <v>37</v>
      </c>
      <c r="AE6" t="s">
        <v>34</v>
      </c>
      <c r="AF6" t="s">
        <v>37</v>
      </c>
      <c r="AG6" t="s">
        <v>51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s="28" t="str">
        <f t="shared" ref="T7:U7" si="7">DEC2HEX(B22*2^0+B21*2^1+B20*2^2+B19*2^3+F22*2^4+F21*2^5+F20*2^6+F19*2^7,2)</f>
        <v>60</v>
      </c>
      <c r="U7" s="28" t="str">
        <f t="shared" si="7"/>
        <v>64</v>
      </c>
      <c r="V7" s="28" t="str">
        <f>DEC2HEX(D22*2^0+D21*2^1+D20*2^2+D19*2^3+H22*2^4+H21*2^5+H20*2^6+H19*2^7,2)</f>
        <v>66</v>
      </c>
      <c r="W7" s="28" t="str">
        <f t="shared" ref="W7" si="8">DEC2HEX(E22*2^0+E21*2^1+E20*2^2+E19*2^3+I22*2^4+I21*2^5+I20*2^6+I19*2^7,2)</f>
        <v>E6</v>
      </c>
      <c r="X7" s="28" t="str">
        <f t="shared" ref="X7:Y7" si="9">DEC2HEX(J22*2^0+J21*2^1+J20*2^2+J19*2^3+N22*2^4+N21*2^5+N20*2^6+N19*2^7,2)</f>
        <v>0C</v>
      </c>
      <c r="Y7" s="28" t="str">
        <f t="shared" si="9"/>
        <v>08</v>
      </c>
      <c r="Z7" s="28" t="str">
        <f>DEC2HEX(L22*2^0+L21*2^1+L20*2^2+L19*2^3+P22*2^4+P21*2^5+P20*2^6+P19*2^7,2)</f>
        <v>00</v>
      </c>
      <c r="AA7" s="28" t="str">
        <f>DEC2HEX(M22*2^0+M21*2^1+M20*2^2+M19*2^3+Q22*2^4+Q21*2^5+Q20*2^6+Q19*2^7,2)</f>
        <v>00</v>
      </c>
      <c r="AC7" t="s">
        <v>31</v>
      </c>
      <c r="AD7" t="s">
        <v>37</v>
      </c>
      <c r="AE7" t="s">
        <v>33</v>
      </c>
      <c r="AF7" t="s">
        <v>37</v>
      </c>
      <c r="AG7" t="s">
        <v>34</v>
      </c>
      <c r="AH7" t="s">
        <v>41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0</v>
      </c>
      <c r="D9" s="10">
        <v>0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D2_s[8]={0x00,0x00,0x00,0x03,0x10,0x08,0x60,0x00};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1</v>
      </c>
      <c r="E14" s="10">
        <v>1</v>
      </c>
      <c r="F14" s="10">
        <v>1</v>
      </c>
      <c r="G14" s="10">
        <v>1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3">_xlfn.CONCAT("0x",T3)</f>
        <v>0x00</v>
      </c>
      <c r="U14" t="str">
        <f t="shared" si="13"/>
        <v>0x00</v>
      </c>
      <c r="V14" t="str">
        <f t="shared" si="13"/>
        <v>0x00</v>
      </c>
      <c r="W14" t="str">
        <f t="shared" si="13"/>
        <v>0x00</v>
      </c>
      <c r="X14" t="str">
        <f t="shared" si="13"/>
        <v>0x00</v>
      </c>
      <c r="Y14" t="str">
        <f t="shared" si="13"/>
        <v>0x00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C2_s[8]={0x00,0x00,0x00,0x03,0x1E,0x08,0x64,0x00};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1</v>
      </c>
      <c r="H15" s="10">
        <v>1</v>
      </c>
      <c r="I15" s="10">
        <v>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3"/>
        <v>0x03</v>
      </c>
      <c r="U15" t="str">
        <f t="shared" si="13"/>
        <v>0x03</v>
      </c>
      <c r="V15" t="str">
        <f t="shared" si="13"/>
        <v>0x13</v>
      </c>
      <c r="W15" t="str">
        <f t="shared" si="13"/>
        <v>0x33</v>
      </c>
      <c r="X15" t="str">
        <f t="shared" si="13"/>
        <v>0x30</v>
      </c>
      <c r="Y15" t="str">
        <f t="shared" si="13"/>
        <v>0x10</v>
      </c>
      <c r="Z15" t="str">
        <f t="shared" si="13"/>
        <v>0x00</v>
      </c>
      <c r="AA15" t="str">
        <f t="shared" si="13"/>
        <v>0x00</v>
      </c>
      <c r="AC15" t="str">
        <f t="shared" si="14"/>
        <v>const uint8_t B2_s[8]={0x00,0x00,0x00,0x13,0x0F,0x0C,0x66,0x00};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0</v>
      </c>
      <c r="H16" s="10">
        <v>1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3"/>
        <v>0x10</v>
      </c>
      <c r="U16" t="str">
        <f t="shared" si="13"/>
        <v>0x1E</v>
      </c>
      <c r="V16" t="str">
        <f t="shared" si="13"/>
        <v>0x0F</v>
      </c>
      <c r="W16" t="str">
        <f t="shared" si="13"/>
        <v>0x03</v>
      </c>
      <c r="X16" t="str">
        <f t="shared" si="13"/>
        <v>0x00</v>
      </c>
      <c r="Y16" t="str">
        <f t="shared" si="13"/>
        <v>0x00</v>
      </c>
      <c r="Z16" t="str">
        <f t="shared" si="13"/>
        <v>0x00</v>
      </c>
      <c r="AA16" t="str">
        <f t="shared" si="13"/>
        <v>0x00</v>
      </c>
      <c r="AC16" t="str">
        <f t="shared" si="14"/>
        <v>const uint8_t A2_s[8]={0x00,0x00,0x00,0x33,0x03,0x8E,0xE6,0x00};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0</v>
      </c>
      <c r="G17" s="10">
        <v>0</v>
      </c>
      <c r="H17" s="10">
        <v>0</v>
      </c>
      <c r="I17" s="10">
        <v>1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3"/>
        <v>0x08</v>
      </c>
      <c r="U17" t="str">
        <f t="shared" si="13"/>
        <v>0x08</v>
      </c>
      <c r="V17" t="str">
        <f t="shared" si="13"/>
        <v>0x0C</v>
      </c>
      <c r="W17" t="str">
        <f t="shared" si="13"/>
        <v>0x8E</v>
      </c>
      <c r="X17" t="str">
        <f t="shared" si="13"/>
        <v>0x70</v>
      </c>
      <c r="Y17" t="str">
        <f t="shared" si="13"/>
        <v>0x30</v>
      </c>
      <c r="Z17" t="str">
        <f t="shared" si="13"/>
        <v>0x00</v>
      </c>
      <c r="AA17" t="str">
        <f t="shared" si="13"/>
        <v>0x00</v>
      </c>
      <c r="AC17" t="str">
        <f t="shared" si="14"/>
        <v>const uint8_t D1_s[8]={0x00,0x00,0x00,0x30,0x00,0x70,0x0C,0x00};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3"/>
        <v>0x60</v>
      </c>
      <c r="U18" t="str">
        <f t="shared" si="13"/>
        <v>0x64</v>
      </c>
      <c r="V18" t="str">
        <f t="shared" si="13"/>
        <v>0x66</v>
      </c>
      <c r="W18" t="str">
        <f t="shared" si="13"/>
        <v>0xE6</v>
      </c>
      <c r="X18" t="str">
        <f t="shared" si="13"/>
        <v>0x0C</v>
      </c>
      <c r="Y18" t="str">
        <f t="shared" si="13"/>
        <v>0x08</v>
      </c>
      <c r="Z18" t="str">
        <f t="shared" si="13"/>
        <v>0x00</v>
      </c>
      <c r="AA18" t="str">
        <f t="shared" si="13"/>
        <v>0x00</v>
      </c>
      <c r="AC18" t="str">
        <f t="shared" si="14"/>
        <v>const uint8_t C1_s[8]={0x00,0x00,0x00,0x10,0x00,0x30,0x08,0x00};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0</v>
      </c>
      <c r="H19" s="10">
        <v>0</v>
      </c>
      <c r="I19" s="10">
        <v>1</v>
      </c>
      <c r="J19" s="10">
        <v>1</v>
      </c>
      <c r="K19" s="10">
        <v>1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B1_s[8]={0x00,0x00,0x00,0x00,0x00,0x00,0x00,0x00};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14"/>
        <v>const uint8_t A1_s[8]={0x00,0x00,0x00,0x00,0x00,0x00,0x00,0x00};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26" priority="1" operator="equal">
      <formula>2</formula>
    </cfRule>
    <cfRule type="cellIs" dxfId="25" priority="2" operator="equal">
      <formula>1</formula>
    </cfRule>
    <cfRule type="cellIs" dxfId="24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3D3A5-6142-4660-A4D2-7DD5B6FC97E4}">
  <sheetPr codeName="Planilha60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150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33</v>
      </c>
      <c r="AE2" t="s">
        <v>43</v>
      </c>
      <c r="AF2" t="s">
        <v>43</v>
      </c>
      <c r="AG2" t="s">
        <v>43</v>
      </c>
      <c r="AH2" t="s">
        <v>44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10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60</v>
      </c>
      <c r="AF3" t="s">
        <v>37</v>
      </c>
      <c r="AG3" t="s">
        <v>37</v>
      </c>
      <c r="AH3" t="s">
        <v>45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F0</v>
      </c>
      <c r="U4" t="str">
        <f>DEC2HEX(C10*2^0+C9*2^1+C8*2^2+C7*2^3+G10*2^4+G9*2^5+G8*2^6+G7*2^7,2)</f>
        <v>33</v>
      </c>
      <c r="V4" t="str">
        <f>DEC2HEX(D10*2^0+D9*2^1+D8*2^2+D7*2^3+H10*2^4+H9*2^5+H8*2^6+H7*2^7,2)</f>
        <v>33</v>
      </c>
      <c r="W4" t="str">
        <f>DEC2HEX(E10*2^0+E9*2^1+E8*2^2+E7*2^3+I10*2^4+I9*2^5+I8*2^6+I7*2^7,2)</f>
        <v>3F</v>
      </c>
      <c r="X4" t="str">
        <f>DEC2HEX(J10*2^0+J9*2^1+J8*2^2+J7*2^3+N10*2^4+N9*2^5+N8*2^6+N7*2^7,2)</f>
        <v>03</v>
      </c>
      <c r="Y4" t="str">
        <f>DEC2HEX(K10*2^0+K9*2^1+K8*2^2+K7*2^3+O10*2^4+O9*2^5+O8*2^6+O7*2^7,2)</f>
        <v>00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60</v>
      </c>
      <c r="AF4" t="s">
        <v>37</v>
      </c>
      <c r="AG4" t="s">
        <v>37</v>
      </c>
      <c r="AH4" t="s">
        <v>45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F0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00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92</v>
      </c>
      <c r="AF5" t="s">
        <v>40</v>
      </c>
      <c r="AG5" t="s">
        <v>40</v>
      </c>
      <c r="AH5" t="s">
        <v>46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1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00</v>
      </c>
      <c r="V6" t="str">
        <f>DEC2HEX(D18*2^0+D17*2^1+D16*2^2+D15*2^3+H18*2^4+H17*2^5+H16*2^6+H15*2^7,2)</f>
        <v>00</v>
      </c>
      <c r="W6" t="str">
        <f>DEC2HEX(E18*2^0+E17*2^1+E16*2^2+E15*2^3+I18*2^4+I17*2^5+I16*2^6+I15*2^7,2)</f>
        <v>0F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37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1</v>
      </c>
      <c r="F7" s="10">
        <v>1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C0</v>
      </c>
      <c r="U7" t="str">
        <f>DEC2HEX(C22*2^0+C21*2^1+C20*2^2+C19*2^3+G22*2^4+G21*2^5+G20*2^6+G19*2^7,2)</f>
        <v>60</v>
      </c>
      <c r="V7" t="str">
        <f>DEC2HEX(D22*2^0+D21*2^1+D20*2^2+D19*2^3+H22*2^4+H21*2^5+H20*2^6+H19*2^7,2)</f>
        <v>60</v>
      </c>
      <c r="W7" t="str">
        <f>DEC2HEX(E22*2^0+E21*2^1+E20*2^2+E19*2^3+I22*2^4+I21*2^5+I20*2^6+I19*2^7,2)</f>
        <v>68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37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1</v>
      </c>
      <c r="F8" s="10">
        <v>1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1</v>
      </c>
      <c r="F12" s="10">
        <v>1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t_D2[6]={0x10,0xF0,0xF0,0xF0,0xC0,0x00};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0x10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t_C2[6]={0x00,0x33,0x00,0x00,0x60,0x00};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0xF0</v>
      </c>
      <c r="U15" t="str">
        <f t="shared" si="1"/>
        <v>0x33</v>
      </c>
      <c r="V15" t="str">
        <f t="shared" si="1"/>
        <v>0x33</v>
      </c>
      <c r="W15" t="str">
        <f t="shared" si="1"/>
        <v>0x3F</v>
      </c>
      <c r="X15" t="str">
        <f t="shared" si="1"/>
        <v>0x03</v>
      </c>
      <c r="Y15" t="str">
        <f t="shared" si="1"/>
        <v>0x00</v>
      </c>
      <c r="Z15" t="str">
        <f t="shared" si="1"/>
        <v>0x00</v>
      </c>
      <c r="AA15" t="str">
        <f t="shared" si="1"/>
        <v>0x00</v>
      </c>
      <c r="AC15" t="str">
        <f t="shared" si="0"/>
        <v>const uint8_t t_B2[6]={0x00,0x33,0x00,0x00,0x60,0x00};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1</v>
      </c>
      <c r="F16" s="10">
        <v>1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0xF0</v>
      </c>
      <c r="U16" t="str">
        <f t="shared" si="1"/>
        <v>0x00</v>
      </c>
      <c r="V16" t="str">
        <f t="shared" si="1"/>
        <v>0x00</v>
      </c>
      <c r="W16" t="str">
        <f t="shared" si="1"/>
        <v>0x0F</v>
      </c>
      <c r="X16" t="str">
        <f t="shared" si="1"/>
        <v>0x00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t_A2[6]={0x00,0x3F,0x0F,0x0F,0x68,0x00};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0xF0</v>
      </c>
      <c r="U17" t="str">
        <f t="shared" si="1"/>
        <v>0x00</v>
      </c>
      <c r="V17" t="str">
        <f t="shared" si="1"/>
        <v>0x00</v>
      </c>
      <c r="W17" t="str">
        <f t="shared" si="1"/>
        <v>0x0F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t_D1[6]={0x00,0x03,0x00,0x00,0x06,0x00};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0xC0</v>
      </c>
      <c r="U18" t="str">
        <f t="shared" si="1"/>
        <v>0x60</v>
      </c>
      <c r="V18" t="str">
        <f t="shared" si="1"/>
        <v>0x60</v>
      </c>
      <c r="W18" t="str">
        <f t="shared" si="1"/>
        <v>0x68</v>
      </c>
      <c r="X18" t="str">
        <f t="shared" si="1"/>
        <v>0x06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t_C1[6]={0x00,0x00,0x00,0x00,0x00,0x00};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t_B1[6]={0x00,0x00,0x00,0x00,0x00,0x00};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t_A1[6]={0x00,0x00,0x00,0x00,0x00,0x00};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23" priority="1" operator="equal">
      <formula>2</formula>
    </cfRule>
    <cfRule type="cellIs" dxfId="22" priority="2" operator="equal">
      <formula>1</formula>
    </cfRule>
    <cfRule type="cellIs" dxfId="21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F9B88-C3C6-41CA-8E8A-2BDB7FF546C0}">
  <sheetPr codeName="Planilha61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151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37</v>
      </c>
      <c r="AG2" t="s">
        <v>37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35</v>
      </c>
      <c r="AF3" t="s">
        <v>40</v>
      </c>
      <c r="AG3" t="s">
        <v>40</v>
      </c>
      <c r="AH3" t="s">
        <v>46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03</v>
      </c>
      <c r="V4" t="str">
        <f>DEC2HEX(D10*2^0+D9*2^1+D8*2^2+D7*2^3+H10*2^4+H9*2^5+H8*2^6+H7*2^7,2)</f>
        <v>03</v>
      </c>
      <c r="W4" t="str">
        <f>DEC2HEX(E10*2^0+E9*2^1+E8*2^2+E7*2^3+I10*2^4+I9*2^5+I8*2^6+I7*2^7,2)</f>
        <v>00</v>
      </c>
      <c r="X4" t="str">
        <f>DEC2HEX(J10*2^0+J9*2^1+J8*2^2+J7*2^3+N10*2^4+N9*2^5+N8*2^6+N7*2^7,2)</f>
        <v>00</v>
      </c>
      <c r="Y4" t="str">
        <f>DEC2HEX(K10*2^0+K9*2^1+K8*2^2+K7*2^3+O10*2^4+O9*2^5+O8*2^6+O7*2^7,2)</f>
        <v>03</v>
      </c>
      <c r="Z4" t="str">
        <f>DEC2HEX(L10*2^0+L9*2^1+L8*2^2+L7*2^3+P10*2^4+P9*2^5+P8*2^6+P7*2^7,2)</f>
        <v>03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35</v>
      </c>
      <c r="AF4" t="s">
        <v>40</v>
      </c>
      <c r="AG4" t="s">
        <v>40</v>
      </c>
      <c r="AH4" t="s">
        <v>55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0F</v>
      </c>
      <c r="V5" t="str">
        <f>DEC2HEX(D14*2^0+D13*2^1+D12*2^2+D11*2^3+H14*2^4+H13*2^5+H12*2^6+H11*2^7,2)</f>
        <v>0F</v>
      </c>
      <c r="W5" t="str">
        <f>DEC2HEX(E14*2^0+E13*2^1+E12*2^2+E11*2^3+I14*2^4+I13*2^5+I12*2^6+I11*2^7,2)</f>
        <v>00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0F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37</v>
      </c>
      <c r="AF5" t="s">
        <v>37</v>
      </c>
      <c r="AG5" t="s">
        <v>37</v>
      </c>
      <c r="AH5" t="s">
        <v>97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01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0F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37</v>
      </c>
      <c r="AF6" t="s">
        <v>37</v>
      </c>
      <c r="AG6" t="s">
        <v>36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68</v>
      </c>
      <c r="V7" t="str">
        <f>DEC2HEX(D22*2^0+D21*2^1+D20*2^2+D19*2^3+H22*2^4+H21*2^5+H20*2^6+H19*2^7,2)</f>
        <v>6C</v>
      </c>
      <c r="W7" t="str">
        <f>DEC2HEX(E22*2^0+E21*2^1+E20*2^2+E19*2^3+I22*2^4+I21*2^5+I20*2^6+I19*2^7,2)</f>
        <v>4E</v>
      </c>
      <c r="X7" t="str">
        <f>DEC2HEX(J22*2^0+J21*2^1+J20*2^2+J19*2^3+N22*2^4+N21*2^5+N20*2^6+N19*2^7,2)</f>
        <v>0C</v>
      </c>
      <c r="Y7" t="str">
        <f>DEC2HEX(K22*2^0+K21*2^1+K20*2^2+K19*2^3+O22*2^4+O21*2^5+O20*2^6+O19*2^7,2)</f>
        <v>0E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35</v>
      </c>
      <c r="AF7" t="s">
        <v>40</v>
      </c>
      <c r="AG7" t="s">
        <v>40</v>
      </c>
      <c r="AH7" t="s">
        <v>42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35</v>
      </c>
      <c r="AF8" t="s">
        <v>40</v>
      </c>
      <c r="AG8" t="s">
        <v>40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1</v>
      </c>
      <c r="L12" s="10">
        <v>1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u_D2[6]={0x00,0x00,0x00,0x00,0x60,0x00};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u_C2[6]={0x00,0x03,0x0F,0x0F,0x68,0x00};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0x03</v>
      </c>
      <c r="V15" t="str">
        <f t="shared" si="1"/>
        <v>0x03</v>
      </c>
      <c r="W15" t="str">
        <f t="shared" si="1"/>
        <v>0x00</v>
      </c>
      <c r="X15" t="str">
        <f t="shared" si="1"/>
        <v>0x00</v>
      </c>
      <c r="Y15" t="str">
        <f t="shared" si="1"/>
        <v>0x03</v>
      </c>
      <c r="Z15" t="str">
        <f t="shared" si="1"/>
        <v>0x03</v>
      </c>
      <c r="AA15" t="str">
        <f t="shared" si="1"/>
        <v>0x00</v>
      </c>
      <c r="AC15" t="str">
        <f t="shared" si="0"/>
        <v>const uint8_t u_B2[6]={0x00,0x03,0x0F,0x0F,0x6C,0x00};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1</v>
      </c>
      <c r="L16" s="10">
        <v>1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0x0F</v>
      </c>
      <c r="V16" t="str">
        <f t="shared" si="1"/>
        <v>0x0F</v>
      </c>
      <c r="W16" t="str">
        <f t="shared" si="1"/>
        <v>0x00</v>
      </c>
      <c r="X16" t="str">
        <f t="shared" si="1"/>
        <v>0x00</v>
      </c>
      <c r="Y16" t="str">
        <f t="shared" si="1"/>
        <v>0x0F</v>
      </c>
      <c r="Z16" t="str">
        <f t="shared" si="1"/>
        <v>0x0F</v>
      </c>
      <c r="AA16" t="str">
        <f t="shared" si="1"/>
        <v>0x00</v>
      </c>
      <c r="AC16" t="str">
        <f t="shared" si="0"/>
        <v>const uint8_t u_A2[6]={0x00,0x00,0x00,0x00,0x4E,0x00};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1</v>
      </c>
      <c r="L17" s="10">
        <v>1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0x01</v>
      </c>
      <c r="Y17" t="str">
        <f t="shared" si="1"/>
        <v>0x0F</v>
      </c>
      <c r="Z17" t="str">
        <f t="shared" si="1"/>
        <v>0x0F</v>
      </c>
      <c r="AA17" t="str">
        <f t="shared" si="1"/>
        <v>0x00</v>
      </c>
      <c r="AC17" t="str">
        <f t="shared" si="0"/>
        <v>const uint8_t u_D1[6]={0x00,0x00,0x00,0x01,0x0C,0x00};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1</v>
      </c>
      <c r="K18" s="10">
        <v>1</v>
      </c>
      <c r="L18" s="10">
        <v>1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0x68</v>
      </c>
      <c r="V18" t="str">
        <f t="shared" si="1"/>
        <v>0x6C</v>
      </c>
      <c r="W18" t="str">
        <f t="shared" si="1"/>
        <v>0x4E</v>
      </c>
      <c r="X18" t="str">
        <f t="shared" si="1"/>
        <v>0x0C</v>
      </c>
      <c r="Y18" t="str">
        <f t="shared" si="1"/>
        <v>0x0E</v>
      </c>
      <c r="Z18" t="str">
        <f t="shared" si="1"/>
        <v>0x0E</v>
      </c>
      <c r="AA18" t="str">
        <f t="shared" si="1"/>
        <v>0x00</v>
      </c>
      <c r="AC18" t="str">
        <f t="shared" si="0"/>
        <v>const uint8_t u_C1[6]={0x00,0x03,0x0F,0x0F,0x0E,0x00};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1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u_B1[6]={0x00,0x03,0x0F,0x0F,0x0E,0x00};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1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u_A1[6]={0x00,0x00,0x00,0x00,0x00,0x00};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1</v>
      </c>
      <c r="F21" s="10">
        <v>1</v>
      </c>
      <c r="G21" s="10">
        <v>1</v>
      </c>
      <c r="H21" s="10">
        <v>1</v>
      </c>
      <c r="I21" s="10">
        <v>0</v>
      </c>
      <c r="J21" s="10">
        <v>0</v>
      </c>
      <c r="K21" s="10">
        <v>1</v>
      </c>
      <c r="L21" s="10">
        <v>1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20" priority="1" operator="equal">
      <formula>2</formula>
    </cfRule>
    <cfRule type="cellIs" dxfId="19" priority="2" operator="equal">
      <formula>1</formula>
    </cfRule>
    <cfRule type="cellIs" dxfId="18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0F5247-14FA-4C2C-B68A-B28AEF5F7C6D}">
  <sheetPr codeName="Planilha62"/>
  <dimension ref="A1:AI30"/>
  <sheetViews>
    <sheetView workbookViewId="0">
      <selection activeCell="T3" sqref="T3:AA8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152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34</v>
      </c>
      <c r="AG2" t="s">
        <v>40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s="28" t="str">
        <f>DEC2HEX(B6*2^0+B5*2^1+B4*2^2+B3*2^3+F6*2^4+F5*2^5+F4*2^6+F3*2^7,2)</f>
        <v>00</v>
      </c>
      <c r="U3" s="28" t="str">
        <f>DEC2HEX(C6*2^0+C5*2^1+C4*2^2+C3*2^3+G6*2^4+G5*2^5+G4*2^6+G3*2^7,2)</f>
        <v>00</v>
      </c>
      <c r="V3" s="28" t="str">
        <f>DEC2HEX(D6*2^0+D5*2^1+D4*2^2+D3*2^3+H6*2^4+H5*2^5+H4*2^6+H3*2^7,2)</f>
        <v>00</v>
      </c>
      <c r="W3" s="28" t="str">
        <f>DEC2HEX(E6*2^0+E5*2^1+E4*2^2+E3*2^3+I6*2^4+I5*2^5+I4*2^6+I3*2^7,2)</f>
        <v>00</v>
      </c>
      <c r="X3" s="28" t="str">
        <f>DEC2HEX(J6*2^0+J5*2^1+J4*2^2+J3*2^3+N6*2^4+N5*2^5+N4*2^6+N3*2^7,2)</f>
        <v>00</v>
      </c>
      <c r="Y3" s="28" t="str">
        <f t="shared" ref="Y3" si="0">DEC2HEX(K6*2^0+K5*2^1+K4*2^2+K3*2^3+O6*2^4+O5*2^5+O4*2^6+O3*2^7,2)</f>
        <v>00</v>
      </c>
      <c r="Z3" s="28" t="str">
        <f>DEC2HEX(L6*2^0+L5*2^1+L4*2^2+L3*2^3+P6*2^4+P5*2^5+P4*2^6+P3*2^7,2)</f>
        <v>00</v>
      </c>
      <c r="AA3" s="28" t="str">
        <f>DEC2HEX(M6*2^0+M5*2^1+M4*2^2+M3*2^3+Q6*2^4+Q5*2^5+Q4*2^6+Q3*2^7,2)</f>
        <v>00</v>
      </c>
      <c r="AC3" t="s">
        <v>28</v>
      </c>
      <c r="AD3" t="s">
        <v>37</v>
      </c>
      <c r="AE3" t="s">
        <v>34</v>
      </c>
      <c r="AF3" t="s">
        <v>37</v>
      </c>
      <c r="AG3" t="s">
        <v>62</v>
      </c>
      <c r="AH3" t="s">
        <v>38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s="28" t="str">
        <f>DEC2HEX(B10*2^4+B9*2^5+B8*2^6+B7*2^7+F10*2^0+F9*2^1+F8*2^2+F7*2^3,2)</f>
        <v>00</v>
      </c>
      <c r="U4" s="28" t="str">
        <f>DEC2HEX(C10*2^4+C9*2^5+C8*2^6+C7*2^7+G10*2^0+G9*2^1+G8*2^2+G7*2^3,2)</f>
        <v>30</v>
      </c>
      <c r="V4" s="28" t="str">
        <f>DEC2HEX(D10*2^4+D9*2^5+D8*2^6+D7*2^7+H10*2^0+H9*2^1+H8*2^2+H7*2^3,2)</f>
        <v>30</v>
      </c>
      <c r="W4" s="28" t="str">
        <f>DEC2HEX(E10*2^4+E9*2^5+E8*2^6+E7*2^7+I10*2^0+I9*2^1+I8*2^2+I7*2^3,2)</f>
        <v>10</v>
      </c>
      <c r="X4" s="28" t="str">
        <f>DEC2HEX(J10*2^4+J9*2^5+J8*2^6+J7*2^7+N10*2^0+N9*2^1+N8*2^2+N7*2^3,2)</f>
        <v>03</v>
      </c>
      <c r="Y4" s="28" t="str">
        <f>DEC2HEX(K10*2^4+K9*2^5+K8*2^6+K7*2^7+O10*2^0+O9*2^1+O8*2^2+O7*2^3,2)</f>
        <v>00</v>
      </c>
      <c r="Z4" s="28" t="str">
        <f>DEC2HEX(L10*2^4+L9*2^5+L8*2^6+L7*2^7+P10*2^0+P9*2^1+P8*2^2+P7*2^3,2)</f>
        <v>10</v>
      </c>
      <c r="AA4" s="28" t="str">
        <f>DEC2HEX(M10*2^4+M9*2^5+M8*2^6+M7*2^7+Q10*2^0+Q9*2^1+Q8*2^2+Q7*2^3,2)</f>
        <v>30</v>
      </c>
      <c r="AC4" t="s">
        <v>29</v>
      </c>
      <c r="AD4" t="s">
        <v>37</v>
      </c>
      <c r="AE4" t="s">
        <v>34</v>
      </c>
      <c r="AF4" t="s">
        <v>42</v>
      </c>
      <c r="AG4" t="s">
        <v>37</v>
      </c>
      <c r="AH4" t="s">
        <v>38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s="28" t="str">
        <f t="shared" ref="T5:U5" si="1">DEC2HEX(B14*2^0+B13*2^1+B12*2^2+B11*2^3+F14*2^4+F13*2^5+F12*2^6+F11*2^7,2)</f>
        <v>30</v>
      </c>
      <c r="U5" s="28" t="str">
        <f t="shared" si="1"/>
        <v>00</v>
      </c>
      <c r="V5" s="28" t="str">
        <f>DEC2HEX(D14*2^0+D13*2^1+D12*2^2+D11*2^3+H14*2^4+H13*2^5+H12*2^6+H11*2^7,2)</f>
        <v>0E</v>
      </c>
      <c r="W5" s="28" t="str">
        <f t="shared" ref="W5" si="2">DEC2HEX(E14*2^0+E13*2^1+E12*2^2+E11*2^3+I14*2^4+I13*2^5+I12*2^6+I11*2^7,2)</f>
        <v>0F</v>
      </c>
      <c r="X5" s="28" t="str">
        <f t="shared" ref="X5:Y5" si="3">DEC2HEX(J14*2^0+J13*2^1+J12*2^2+J11*2^3+N14*2^4+N13*2^5+N12*2^6+N11*2^7,2)</f>
        <v>00</v>
      </c>
      <c r="Y5" s="28" t="str">
        <f t="shared" si="3"/>
        <v>03</v>
      </c>
      <c r="Z5" s="28" t="str">
        <f>DEC2HEX(L14*2^0+L13*2^1+L12*2^2+L11*2^3+P14*2^4+P13*2^5+P12*2^6+P11*2^7,2)</f>
        <v>0F</v>
      </c>
      <c r="AA5" s="28" t="str">
        <f>DEC2HEX(M14*2^0+M13*2^1+M12*2^2+M11*2^3+Q14*2^4+Q13*2^5+Q12*2^6+Q11*2^7,2)</f>
        <v>0E</v>
      </c>
      <c r="AC5" t="s">
        <v>2</v>
      </c>
      <c r="AD5" t="s">
        <v>37</v>
      </c>
      <c r="AE5" t="s">
        <v>33</v>
      </c>
      <c r="AF5" t="s">
        <v>40</v>
      </c>
      <c r="AG5" t="s">
        <v>39</v>
      </c>
      <c r="AH5" t="s">
        <v>38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s="28" t="str">
        <f t="shared" ref="T6:U6" si="4">DEC2HEX(B18*2^4+B17*2^5+B16*2^6+B15*2^7+F18*2^0+F17*2^1+F16*2^2+F15*2^3,2)</f>
        <v>0F</v>
      </c>
      <c r="U6" s="28" t="str">
        <f t="shared" si="4"/>
        <v>07</v>
      </c>
      <c r="V6" s="28" t="str">
        <f>DEC2HEX(D18*2^4+D17*2^5+D16*2^6+D15*2^7+H18*2^0+H17*2^1+H16*2^2+H15*2^3,2)</f>
        <v>00</v>
      </c>
      <c r="W6" s="28" t="str">
        <f t="shared" ref="W6" si="5">DEC2HEX(E18*2^4+E17*2^5+E16*2^6+E15*2^7+I18*2^0+I17*2^1+I16*2^2+I15*2^3,2)</f>
        <v>80</v>
      </c>
      <c r="X6" s="28" t="str">
        <f t="shared" ref="X6:Y6" si="6">DEC2HEX(J18*2^4+J17*2^5+J16*2^6+J15*2^7+N18*2^0+N17*2^1+N16*2^2+N15*2^3,2)</f>
        <v>70</v>
      </c>
      <c r="Y6" s="28" t="str">
        <f t="shared" si="6"/>
        <v>F0</v>
      </c>
      <c r="Z6" s="28" t="str">
        <f>DEC2HEX(L18*2^4+L17*2^5+L16*2^6+L15*2^7+P18*2^0+P17*2^1+P16*2^2+P15*2^3,2)</f>
        <v>80</v>
      </c>
      <c r="AA6" s="28" t="str">
        <f>DEC2HEX(M18*2^4+M17*2^5+M16*2^6+M15*2^7+Q18*2^0+Q17*2^1+Q16*2^2+Q15*2^3,2)</f>
        <v>00</v>
      </c>
      <c r="AC6" t="s">
        <v>30</v>
      </c>
      <c r="AD6" t="s">
        <v>37</v>
      </c>
      <c r="AE6" t="s">
        <v>35</v>
      </c>
      <c r="AF6" t="s">
        <v>37</v>
      </c>
      <c r="AG6" t="s">
        <v>51</v>
      </c>
      <c r="AH6" t="s">
        <v>42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s="28" t="str">
        <f t="shared" ref="T7:U7" si="7">DEC2HEX(B22*2^0+B21*2^1+B20*2^2+B19*2^3+F22*2^4+F21*2^5+F20*2^6+F19*2^7,2)</f>
        <v>00</v>
      </c>
      <c r="U7" s="28" t="str">
        <f t="shared" si="7"/>
        <v>E0</v>
      </c>
      <c r="V7" s="28" t="str">
        <f>DEC2HEX(D22*2^0+D21*2^1+D20*2^2+D19*2^3+H22*2^4+H21*2^5+H20*2^6+H19*2^7,2)</f>
        <v>E0</v>
      </c>
      <c r="W7" s="28" t="str">
        <f t="shared" ref="W7" si="8">DEC2HEX(E22*2^0+E21*2^1+E20*2^2+E19*2^3+I22*2^4+I21*2^5+I20*2^6+I19*2^7,2)</f>
        <v>E0</v>
      </c>
      <c r="X7" s="28" t="str">
        <f t="shared" ref="X7:Y7" si="9">DEC2HEX(J22*2^0+J21*2^1+J20*2^2+J19*2^3+N22*2^4+N21*2^5+N20*2^6+N19*2^7,2)</f>
        <v>0E</v>
      </c>
      <c r="Y7" s="28" t="str">
        <f t="shared" si="9"/>
        <v>00</v>
      </c>
      <c r="Z7" s="28" t="str">
        <f>DEC2HEX(L22*2^0+L21*2^1+L20*2^2+L19*2^3+P22*2^4+P21*2^5+P20*2^6+P19*2^7,2)</f>
        <v>00</v>
      </c>
      <c r="AA7" s="28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35</v>
      </c>
      <c r="AG7" t="s">
        <v>43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s="28" t="str">
        <f t="shared" ref="T8:U8" si="10">DEC2HEX(B26*2^4+B25*2^5+B24*2^6+B23*2^7+F26*2^0+F25*2^1+F24*2^2+F23*2^3,2)</f>
        <v>00</v>
      </c>
      <c r="U8" s="28" t="str">
        <f t="shared" si="10"/>
        <v>00</v>
      </c>
      <c r="V8" s="28" t="str">
        <f>DEC2HEX(D26*2^4+D25*2^5+D24*2^6+D23*2^7+H26*2^0+H25*2^1+H24*2^2+H23*2^3,2)</f>
        <v>00</v>
      </c>
      <c r="W8" s="28" t="str">
        <f t="shared" ref="W8" si="11">DEC2HEX(E26*2^4+E25*2^5+E24*2^6+E23*2^7+I26*2^0+I25*2^1+I24*2^2+I23*2^3,2)</f>
        <v>00</v>
      </c>
      <c r="X8" s="28" t="str">
        <f t="shared" ref="X8:Y8" si="12">DEC2HEX(J26*2^4+J25*2^5+J24*2^6+J23*2^7+N26*2^0+N25*2^1+N24*2^2+N23*2^3,2)</f>
        <v>00</v>
      </c>
      <c r="Y8" s="28" t="str">
        <f t="shared" si="12"/>
        <v>00</v>
      </c>
      <c r="Z8" s="28" t="str">
        <f>DEC2HEX(L26*2^4+L25*2^5+L24*2^6+L23*2^7+P26*2^0+P25*2^1+P24*2^2+P23*2^3,2)</f>
        <v>00</v>
      </c>
      <c r="AA8" s="28" t="str">
        <f>DEC2HEX(M26*2^4+M25*2^5+M24*2^6+M23*2^7+Q26*2^0+Q25*2^1+Q24*2^2+Q23*2^3,2)</f>
        <v>00</v>
      </c>
      <c r="AC8" t="s">
        <v>32</v>
      </c>
      <c r="AD8" t="s">
        <v>37</v>
      </c>
      <c r="AE8" t="s">
        <v>33</v>
      </c>
      <c r="AF8" t="s">
        <v>40</v>
      </c>
      <c r="AG8" t="s">
        <v>39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34</v>
      </c>
      <c r="AF9" t="s">
        <v>42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1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>_xlfn.CONCAT("const uint8_t ",AC2,"_",$AB$1,"[8]={0x00,0x00,",AD2,",",AE2,",",AF2,",",AG2,",",AH2,",",AI2,"};")</f>
        <v>const uint8_t D2_v[8]={0x00,0x00,0x00,0x00,0x30,0x0F,0x00,0x00};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3">_xlfn.CONCAT("0x",T3)</f>
        <v>0x00</v>
      </c>
      <c r="U14" t="str">
        <f t="shared" si="13"/>
        <v>0x00</v>
      </c>
      <c r="V14" t="str">
        <f t="shared" si="13"/>
        <v>0x00</v>
      </c>
      <c r="W14" t="str">
        <f t="shared" si="13"/>
        <v>0x00</v>
      </c>
      <c r="X14" t="str">
        <f t="shared" si="13"/>
        <v>0x00</v>
      </c>
      <c r="Y14" t="str">
        <f t="shared" si="13"/>
        <v>0x00</v>
      </c>
      <c r="Z14" t="str">
        <f t="shared" si="13"/>
        <v>0x00</v>
      </c>
      <c r="AA14" t="str">
        <f t="shared" si="13"/>
        <v>0x00</v>
      </c>
      <c r="AC14" t="str">
        <f t="shared" ref="AC14:AC20" si="14">_xlfn.CONCAT("const uint8_t ",AC3,"_",$AB$1,"[8]={0x00,0x00,",AD3,",",AE3,",",AF3,",",AG3,",",AH3,",",AI3,"};")</f>
        <v>const uint8_t C2_v[8]={0x00,0x00,0x00,0x30,0x00,0x07,0xE0,0x00};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3"/>
        <v>0x00</v>
      </c>
      <c r="U15" t="str">
        <f t="shared" si="13"/>
        <v>0x30</v>
      </c>
      <c r="V15" t="str">
        <f t="shared" si="13"/>
        <v>0x30</v>
      </c>
      <c r="W15" t="str">
        <f t="shared" si="13"/>
        <v>0x10</v>
      </c>
      <c r="X15" t="str">
        <f t="shared" si="13"/>
        <v>0x03</v>
      </c>
      <c r="Y15" t="str">
        <f t="shared" si="13"/>
        <v>0x00</v>
      </c>
      <c r="Z15" t="str">
        <f t="shared" si="13"/>
        <v>0x10</v>
      </c>
      <c r="AA15" t="str">
        <f t="shared" si="13"/>
        <v>0x30</v>
      </c>
      <c r="AC15" t="str">
        <f t="shared" si="14"/>
        <v>const uint8_t B2_v[8]={0x00,0x00,0x00,0x30,0x0E,0x00,0xE0,0x00};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1</v>
      </c>
      <c r="G16" s="10">
        <v>1</v>
      </c>
      <c r="H16" s="10">
        <v>0</v>
      </c>
      <c r="I16" s="10">
        <v>0</v>
      </c>
      <c r="J16" s="10">
        <v>1</v>
      </c>
      <c r="K16" s="10">
        <v>1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3"/>
        <v>0x30</v>
      </c>
      <c r="U16" t="str">
        <f t="shared" si="13"/>
        <v>0x00</v>
      </c>
      <c r="V16" t="str">
        <f t="shared" si="13"/>
        <v>0x0E</v>
      </c>
      <c r="W16" t="str">
        <f t="shared" si="13"/>
        <v>0x0F</v>
      </c>
      <c r="X16" t="str">
        <f t="shared" si="13"/>
        <v>0x00</v>
      </c>
      <c r="Y16" t="str">
        <f t="shared" si="13"/>
        <v>0x03</v>
      </c>
      <c r="Z16" t="str">
        <f t="shared" si="13"/>
        <v>0x0F</v>
      </c>
      <c r="AA16" t="str">
        <f t="shared" si="13"/>
        <v>0x0E</v>
      </c>
      <c r="AC16" t="str">
        <f t="shared" si="14"/>
        <v>const uint8_t A2_v[8]={0x00,0x00,0x00,0x10,0x0F,0x80,0xE0,0x00};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0</v>
      </c>
      <c r="I17" s="10">
        <v>0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3"/>
        <v>0x0F</v>
      </c>
      <c r="U17" t="str">
        <f t="shared" si="13"/>
        <v>0x07</v>
      </c>
      <c r="V17" t="str">
        <f t="shared" si="13"/>
        <v>0x00</v>
      </c>
      <c r="W17" t="str">
        <f t="shared" si="13"/>
        <v>0x80</v>
      </c>
      <c r="X17" t="str">
        <f t="shared" si="13"/>
        <v>0x70</v>
      </c>
      <c r="Y17" t="str">
        <f t="shared" si="13"/>
        <v>0xF0</v>
      </c>
      <c r="Z17" t="str">
        <f t="shared" si="13"/>
        <v>0x80</v>
      </c>
      <c r="AA17" t="str">
        <f t="shared" si="13"/>
        <v>0x00</v>
      </c>
      <c r="AC17" t="str">
        <f t="shared" si="14"/>
        <v>const uint8_t D1_v[8]={0x00,0x00,0x00,0x03,0x00,0x70,0x0E,0x00};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1</v>
      </c>
      <c r="G18" s="10">
        <v>1</v>
      </c>
      <c r="H18" s="10">
        <v>0</v>
      </c>
      <c r="I18" s="10">
        <v>0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3"/>
        <v>0x00</v>
      </c>
      <c r="U18" t="str">
        <f t="shared" si="13"/>
        <v>0xE0</v>
      </c>
      <c r="V18" t="str">
        <f t="shared" si="13"/>
        <v>0xE0</v>
      </c>
      <c r="W18" t="str">
        <f t="shared" si="13"/>
        <v>0xE0</v>
      </c>
      <c r="X18" t="str">
        <f t="shared" si="13"/>
        <v>0x0E</v>
      </c>
      <c r="Y18" t="str">
        <f t="shared" si="13"/>
        <v>0x00</v>
      </c>
      <c r="Z18" t="str">
        <f t="shared" si="13"/>
        <v>0x00</v>
      </c>
      <c r="AA18" t="str">
        <f t="shared" si="13"/>
        <v>0x00</v>
      </c>
      <c r="AC18" t="str">
        <f t="shared" si="14"/>
        <v>const uint8_t C1_v[8]={0x00,0x00,0x00,0x00,0x03,0xF0,0x00,0x00};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1</v>
      </c>
      <c r="H19" s="10">
        <v>1</v>
      </c>
      <c r="I19" s="10">
        <v>1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3"/>
        <v>0x00</v>
      </c>
      <c r="U19" t="str">
        <f t="shared" si="13"/>
        <v>0x00</v>
      </c>
      <c r="V19" t="str">
        <f t="shared" si="13"/>
        <v>0x00</v>
      </c>
      <c r="W19" t="str">
        <f t="shared" si="13"/>
        <v>0x00</v>
      </c>
      <c r="X19" t="str">
        <f t="shared" si="13"/>
        <v>0x00</v>
      </c>
      <c r="Y19" t="str">
        <f t="shared" si="13"/>
        <v>0x00</v>
      </c>
      <c r="Z19" t="str">
        <f t="shared" si="13"/>
        <v>0x00</v>
      </c>
      <c r="AA19" t="str">
        <f t="shared" si="13"/>
        <v>0x00</v>
      </c>
      <c r="AC19" t="str">
        <f t="shared" si="14"/>
        <v>const uint8_t B1_v[8]={0x00,0x00,0x00,0x10,0x0F,0x80,0x00,0x00};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1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14"/>
        <v>const uint8_t A1_v[8]={0x00,0x00,0x00,0x30,0x0E,0x00,0x00,0x00};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1</v>
      </c>
      <c r="H21" s="10">
        <v>1</v>
      </c>
      <c r="I21" s="10">
        <v>1</v>
      </c>
      <c r="J21" s="10">
        <v>1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7" priority="1" operator="equal">
      <formula>2</formula>
    </cfRule>
    <cfRule type="cellIs" dxfId="16" priority="2" operator="equal">
      <formula>1</formula>
    </cfRule>
    <cfRule type="cellIs" dxfId="15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CB3FB8-F9E2-4EB8-9407-7683E227C614}">
  <sheetPr codeName="Planilha63"/>
  <dimension ref="A1:AI30"/>
  <sheetViews>
    <sheetView workbookViewId="0">
      <selection activeCell="W23" sqref="W23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153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34</v>
      </c>
      <c r="AE2" t="s">
        <v>37</v>
      </c>
      <c r="AF2" t="s">
        <v>34</v>
      </c>
      <c r="AG2" t="s">
        <v>37</v>
      </c>
      <c r="AH2" t="s">
        <v>37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30</v>
      </c>
      <c r="U3" t="str">
        <f>DEC2HEX(C6*2^0+C5*2^1+C4*2^2+C3*2^3+G6*2^4+G5*2^5+G4*2^6+G3*2^7,2)</f>
        <v>33</v>
      </c>
      <c r="V3" t="str">
        <f>DEC2HEX(D6*2^0+D5*2^1+D4*2^2+D3*2^3+H6*2^4+H5*2^5+H4*2^6+H3*2^7,2)</f>
        <v>33</v>
      </c>
      <c r="W3" t="str">
        <f>DEC2HEX(E6*2^0+E5*2^1+E4*2^2+E3*2^3+I6*2^4+I5*2^5+I4*2^6+I3*2^7,2)</f>
        <v>33</v>
      </c>
      <c r="X3" t="str">
        <f>DEC2HEX(J6*2^0+J5*2^1+J4*2^2+J3*2^3+N6*2^4+N5*2^5+N4*2^6+N3*2^7,2)</f>
        <v>01</v>
      </c>
      <c r="Y3" t="str">
        <f>DEC2HEX(K6*2^0+K5*2^1+K4*2^2+K3*2^3+O6*2^4+O5*2^5+O4*2^6+O3*2^7,2)</f>
        <v>01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60</v>
      </c>
      <c r="AE3" t="s">
        <v>40</v>
      </c>
      <c r="AF3" t="s">
        <v>92</v>
      </c>
      <c r="AG3" t="s">
        <v>40</v>
      </c>
      <c r="AH3" t="s">
        <v>42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0F</v>
      </c>
      <c r="V4" t="str">
        <f>DEC2HEX(D10*2^0+D9*2^1+D8*2^2+D7*2^3+H10*2^4+H9*2^5+H8*2^6+H7*2^7,2)</f>
        <v>0F</v>
      </c>
      <c r="W4" t="str">
        <f>DEC2HEX(E10*2^0+E9*2^1+E8*2^2+E7*2^3+I10*2^4+I9*2^5+I8*2^6+I7*2^7,2)</f>
        <v>00</v>
      </c>
      <c r="X4" t="str">
        <f>DEC2HEX(J10*2^0+J9*2^1+J8*2^2+J7*2^3+N10*2^4+N9*2^5+N8*2^6+N7*2^7,2)</f>
        <v>0C</v>
      </c>
      <c r="Y4" t="str">
        <f>DEC2HEX(K10*2^0+K9*2^1+K8*2^2+K7*2^3+O10*2^4+O9*2^5+O8*2^6+O7*2^7,2)</f>
        <v>0F</v>
      </c>
      <c r="Z4" t="str">
        <f>DEC2HEX(L10*2^0+L9*2^1+L8*2^2+L7*2^3+P10*2^4+P9*2^5+P8*2^6+P7*2^7,2)</f>
        <v>0F</v>
      </c>
      <c r="AA4" t="str">
        <f>DEC2HEX(M10*2^0+M9*2^1+M8*2^2+M7*2^3+Q10*2^4+Q9*2^5+Q8*2^6+Q7*2^7,2)</f>
        <v>00</v>
      </c>
      <c r="AC4" t="s">
        <v>29</v>
      </c>
      <c r="AD4" t="s">
        <v>60</v>
      </c>
      <c r="AE4" t="s">
        <v>40</v>
      </c>
      <c r="AF4" t="s">
        <v>92</v>
      </c>
      <c r="AG4" t="s">
        <v>40</v>
      </c>
      <c r="AH4" t="s">
        <v>42</v>
      </c>
      <c r="AI4" t="s">
        <v>37</v>
      </c>
    </row>
    <row r="5" spans="1:35" x14ac:dyDescent="0.25">
      <c r="A5">
        <v>2</v>
      </c>
      <c r="B5" s="10">
        <v>0</v>
      </c>
      <c r="C5" s="10">
        <v>1</v>
      </c>
      <c r="D5" s="10">
        <v>1</v>
      </c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30</v>
      </c>
      <c r="U5" t="str">
        <f>DEC2HEX(C14*2^0+C13*2^1+C12*2^2+C11*2^3+G14*2^4+G13*2^5+G12*2^6+G11*2^7,2)</f>
        <v>3F</v>
      </c>
      <c r="V5" t="str">
        <f>DEC2HEX(D14*2^0+D13*2^1+D12*2^2+D11*2^3+H14*2^4+H13*2^5+H12*2^6+H11*2^7,2)</f>
        <v>3F</v>
      </c>
      <c r="W5" t="str">
        <f>DEC2HEX(E14*2^0+E13*2^1+E12*2^2+E11*2^3+I14*2^4+I13*2^5+I12*2^6+I11*2^7,2)</f>
        <v>33</v>
      </c>
      <c r="X5" t="str">
        <f>DEC2HEX(J14*2^0+J13*2^1+J12*2^2+J11*2^3+N14*2^4+N13*2^5+N12*2^6+N11*2^7,2)</f>
        <v>0E</v>
      </c>
      <c r="Y5" t="str">
        <f>DEC2HEX(K14*2^0+K13*2^1+K12*2^2+K11*2^3+O14*2^4+O13*2^5+O12*2^6+O11*2^7,2)</f>
        <v>0E</v>
      </c>
      <c r="Z5" t="str">
        <f>DEC2HEX(L14*2^0+L13*2^1+L12*2^2+L11*2^3+P14*2^4+P13*2^5+P12*2^6+P11*2^7,2)</f>
        <v>08</v>
      </c>
      <c r="AA5" t="str">
        <f>DEC2HEX(M14*2^0+M13*2^1+M12*2^2+M11*2^3+Q14*2^4+Q13*2^5+Q12*2^6+Q11*2^7,2)</f>
        <v>00</v>
      </c>
      <c r="AC5" t="s">
        <v>2</v>
      </c>
      <c r="AD5" t="s">
        <v>60</v>
      </c>
      <c r="AE5" t="s">
        <v>37</v>
      </c>
      <c r="AF5" t="s">
        <v>60</v>
      </c>
      <c r="AG5" t="s">
        <v>37</v>
      </c>
      <c r="AH5" t="s">
        <v>37</v>
      </c>
      <c r="AI5" t="s">
        <v>37</v>
      </c>
    </row>
    <row r="6" spans="1:35" x14ac:dyDescent="0.25">
      <c r="A6">
        <v>3</v>
      </c>
      <c r="B6" s="10">
        <v>0</v>
      </c>
      <c r="C6" s="10">
        <v>1</v>
      </c>
      <c r="D6" s="10">
        <v>1</v>
      </c>
      <c r="E6" s="10">
        <v>1</v>
      </c>
      <c r="F6" s="10">
        <v>1</v>
      </c>
      <c r="G6" s="10">
        <v>1</v>
      </c>
      <c r="H6" s="10">
        <v>1</v>
      </c>
      <c r="I6" s="10">
        <v>1</v>
      </c>
      <c r="J6" s="10">
        <v>1</v>
      </c>
      <c r="K6" s="10">
        <v>1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00</v>
      </c>
      <c r="U6" t="str">
        <f>DEC2HEX(C18*2^0+C17*2^1+C16*2^2+C15*2^3+G18*2^4+G17*2^5+G16*2^6+G15*2^7,2)</f>
        <v>0F</v>
      </c>
      <c r="V6" t="str">
        <f>DEC2HEX(D18*2^0+D17*2^1+D16*2^2+D15*2^3+H18*2^4+H17*2^5+H16*2^6+H15*2^7,2)</f>
        <v>0F</v>
      </c>
      <c r="W6" t="str">
        <f>DEC2HEX(E18*2^0+E17*2^1+E16*2^2+E15*2^3+I18*2^4+I17*2^5+I16*2^6+I15*2^7,2)</f>
        <v>00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36</v>
      </c>
      <c r="AE6" t="s">
        <v>48</v>
      </c>
      <c r="AF6" t="s">
        <v>42</v>
      </c>
      <c r="AG6" t="s">
        <v>37</v>
      </c>
      <c r="AH6" t="s">
        <v>37</v>
      </c>
      <c r="AI6" t="s">
        <v>37</v>
      </c>
    </row>
    <row r="7" spans="1:35" x14ac:dyDescent="0.25">
      <c r="A7">
        <v>4</v>
      </c>
      <c r="B7" s="10">
        <v>0</v>
      </c>
      <c r="C7" s="10">
        <v>1</v>
      </c>
      <c r="D7" s="10">
        <v>1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1</v>
      </c>
      <c r="K7" s="10">
        <v>1</v>
      </c>
      <c r="L7" s="10">
        <v>1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0E</v>
      </c>
      <c r="V7" t="str">
        <f>DEC2HEX(D22*2^0+D21*2^1+D20*2^2+D19*2^3+H22*2^4+H21*2^5+H20*2^6+H19*2^7,2)</f>
        <v>0E</v>
      </c>
      <c r="W7" t="str">
        <f>DEC2HEX(E22*2^0+E21*2^1+E20*2^2+E19*2^3+I22*2^4+I21*2^5+I20*2^6+I19*2^7,2)</f>
        <v>00</v>
      </c>
      <c r="X7" t="str">
        <f>DEC2HEX(J22*2^0+J21*2^1+J20*2^2+J19*2^3+N22*2^4+N21*2^5+N20*2^6+N19*2^7,2)</f>
        <v>00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36</v>
      </c>
      <c r="AE7" t="s">
        <v>40</v>
      </c>
      <c r="AF7" t="s">
        <v>42</v>
      </c>
      <c r="AG7" t="s">
        <v>37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1</v>
      </c>
      <c r="D8" s="10">
        <v>1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1</v>
      </c>
      <c r="K8" s="10">
        <v>1</v>
      </c>
      <c r="L8" s="10">
        <v>1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40</v>
      </c>
      <c r="AF8" t="s">
        <v>41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1</v>
      </c>
      <c r="L9" s="10">
        <v>1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1</v>
      </c>
      <c r="D11" s="10">
        <v>1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1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1</v>
      </c>
      <c r="D12" s="10">
        <v>1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1</v>
      </c>
      <c r="D13" s="10">
        <v>1</v>
      </c>
      <c r="E13" s="10">
        <v>1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w_D2[6]={0x30,0x00,0x30,0x00,0x00,0x00};</v>
      </c>
    </row>
    <row r="14" spans="1:35" x14ac:dyDescent="0.25">
      <c r="A14">
        <v>11</v>
      </c>
      <c r="B14" s="10">
        <v>0</v>
      </c>
      <c r="C14" s="10">
        <v>1</v>
      </c>
      <c r="D14" s="10">
        <v>1</v>
      </c>
      <c r="E14" s="10">
        <v>1</v>
      </c>
      <c r="F14" s="10">
        <v>1</v>
      </c>
      <c r="G14" s="10">
        <v>1</v>
      </c>
      <c r="H14" s="10">
        <v>1</v>
      </c>
      <c r="I14" s="10">
        <v>1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0x30</v>
      </c>
      <c r="U14" t="str">
        <f t="shared" si="1"/>
        <v>0x33</v>
      </c>
      <c r="V14" t="str">
        <f t="shared" si="1"/>
        <v>0x33</v>
      </c>
      <c r="W14" t="str">
        <f t="shared" si="1"/>
        <v>0x33</v>
      </c>
      <c r="X14" t="str">
        <f t="shared" si="1"/>
        <v>0x01</v>
      </c>
      <c r="Y14" t="str">
        <f t="shared" si="1"/>
        <v>0x01</v>
      </c>
      <c r="Z14" t="str">
        <f t="shared" si="1"/>
        <v>0x00</v>
      </c>
      <c r="AA14" t="str">
        <f t="shared" si="1"/>
        <v>0x00</v>
      </c>
      <c r="AC14" t="str">
        <f t="shared" si="0"/>
        <v>const uint8_t w_C2[6]={0x33,0x0F,0x3F,0x0F,0x0E,0x00};</v>
      </c>
    </row>
    <row r="15" spans="1:35" x14ac:dyDescent="0.25">
      <c r="A15">
        <v>12</v>
      </c>
      <c r="B15" s="10">
        <v>0</v>
      </c>
      <c r="C15" s="10">
        <v>1</v>
      </c>
      <c r="D15" s="10">
        <v>1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0x0F</v>
      </c>
      <c r="V15" t="str">
        <f t="shared" si="1"/>
        <v>0x0F</v>
      </c>
      <c r="W15" t="str">
        <f t="shared" si="1"/>
        <v>0x00</v>
      </c>
      <c r="X15" t="str">
        <f t="shared" si="1"/>
        <v>0x0C</v>
      </c>
      <c r="Y15" t="str">
        <f t="shared" si="1"/>
        <v>0x0F</v>
      </c>
      <c r="Z15" t="str">
        <f t="shared" si="1"/>
        <v>0x0F</v>
      </c>
      <c r="AA15" t="str">
        <f t="shared" si="1"/>
        <v>0x00</v>
      </c>
      <c r="AC15" t="str">
        <f t="shared" si="0"/>
        <v>const uint8_t w_B2[6]={0x33,0x0F,0x3F,0x0F,0x0E,0x00};</v>
      </c>
    </row>
    <row r="16" spans="1:35" x14ac:dyDescent="0.25">
      <c r="A16">
        <v>13</v>
      </c>
      <c r="B16" s="10">
        <v>0</v>
      </c>
      <c r="C16" s="10">
        <v>1</v>
      </c>
      <c r="D16" s="10">
        <v>1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0x30</v>
      </c>
      <c r="U16" t="str">
        <f t="shared" si="1"/>
        <v>0x3F</v>
      </c>
      <c r="V16" t="str">
        <f t="shared" si="1"/>
        <v>0x3F</v>
      </c>
      <c r="W16" t="str">
        <f t="shared" si="1"/>
        <v>0x33</v>
      </c>
      <c r="X16" t="str">
        <f t="shared" si="1"/>
        <v>0x0E</v>
      </c>
      <c r="Y16" t="str">
        <f t="shared" si="1"/>
        <v>0x0E</v>
      </c>
      <c r="Z16" t="str">
        <f t="shared" si="1"/>
        <v>0x08</v>
      </c>
      <c r="AA16" t="str">
        <f t="shared" si="1"/>
        <v>0x00</v>
      </c>
      <c r="AC16" t="str">
        <f t="shared" si="0"/>
        <v>const uint8_t w_A2[6]={0x33,0x00,0x33,0x00,0x00,0x00};</v>
      </c>
    </row>
    <row r="17" spans="1:29" x14ac:dyDescent="0.25">
      <c r="A17">
        <v>14</v>
      </c>
      <c r="B17" s="10">
        <v>0</v>
      </c>
      <c r="C17" s="10">
        <v>1</v>
      </c>
      <c r="D17" s="10">
        <v>1</v>
      </c>
      <c r="E17" s="10">
        <v>0</v>
      </c>
      <c r="F17" s="10">
        <v>0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0x00</v>
      </c>
      <c r="U17" t="str">
        <f t="shared" si="1"/>
        <v>0x0F</v>
      </c>
      <c r="V17" t="str">
        <f t="shared" si="1"/>
        <v>0x0F</v>
      </c>
      <c r="W17" t="str">
        <f t="shared" si="1"/>
        <v>0x00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w_D1[6]={0x01,0x0C,0x0E,0x00,0x00,0x00};</v>
      </c>
    </row>
    <row r="18" spans="1:29" x14ac:dyDescent="0.25">
      <c r="A18">
        <v>15</v>
      </c>
      <c r="B18" s="10">
        <v>0</v>
      </c>
      <c r="C18" s="10">
        <v>1</v>
      </c>
      <c r="D18" s="10">
        <v>1</v>
      </c>
      <c r="E18" s="10">
        <v>0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0x0E</v>
      </c>
      <c r="V18" t="str">
        <f t="shared" si="1"/>
        <v>0x0E</v>
      </c>
      <c r="W18" t="str">
        <f t="shared" si="1"/>
        <v>0x00</v>
      </c>
      <c r="X18" t="str">
        <f t="shared" si="1"/>
        <v>0x00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w_C1[6]={0x01,0x0F,0x0E,0x00,0x00,0x00};</v>
      </c>
    </row>
    <row r="19" spans="1:29" x14ac:dyDescent="0.25">
      <c r="A19">
        <v>16</v>
      </c>
      <c r="B19" s="10">
        <v>0</v>
      </c>
      <c r="C19" s="10">
        <v>1</v>
      </c>
      <c r="D19" s="10">
        <v>1</v>
      </c>
      <c r="E19" s="10">
        <v>0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w_B1[6]={0x00,0x0F,0x08,0x00,0x00,0x00};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0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w_A1[6]={0x00,0x00,0x00,0x00,0x00,0x00};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0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4" priority="1" operator="equal">
      <formula>2</formula>
    </cfRule>
    <cfRule type="cellIs" dxfId="13" priority="2" operator="equal">
      <formula>1</formula>
    </cfRule>
    <cfRule type="cellIs" dxfId="12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27769-3E8E-4D27-9CCC-34B71CCF0FE3}">
  <sheetPr codeName="Planilha64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21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33</v>
      </c>
      <c r="AF2" t="s">
        <v>38</v>
      </c>
      <c r="AG2" t="s">
        <v>34</v>
      </c>
      <c r="AH2" t="s">
        <v>39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49</v>
      </c>
      <c r="AF3" t="s">
        <v>51</v>
      </c>
      <c r="AG3" t="s">
        <v>51</v>
      </c>
      <c r="AH3" t="s">
        <v>49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10</v>
      </c>
      <c r="U4" t="str">
        <f>DEC2HEX(C10*2^0+C9*2^1+C8*2^2+C7*2^3+G10*2^4+G9*2^5+G8*2^6+G7*2^7,2)</f>
        <v>02</v>
      </c>
      <c r="V4" t="str">
        <f>DEC2HEX(D10*2^0+D9*2^1+D8*2^2+D7*2^3+H10*2^4+H9*2^5+H8*2^6+H7*2^7,2)</f>
        <v>03</v>
      </c>
      <c r="W4" t="str">
        <f>DEC2HEX(E10*2^0+E9*2^1+E8*2^2+E7*2^3+I10*2^4+I9*2^5+I8*2^6+I7*2^7,2)</f>
        <v>03</v>
      </c>
      <c r="X4" t="str">
        <f>DEC2HEX(J10*2^0+J9*2^1+J8*2^2+J7*2^3+N10*2^4+N9*2^5+N8*2^6+N7*2^7,2)</f>
        <v>20</v>
      </c>
      <c r="Y4" t="str">
        <f>DEC2HEX(K10*2^0+K9*2^1+K8*2^2+K7*2^3+O10*2^4+O9*2^5+O8*2^6+O7*2^7,2)</f>
        <v>01</v>
      </c>
      <c r="Z4" t="str">
        <f>DEC2HEX(L10*2^0+L9*2^1+L8*2^2+L7*2^3+P10*2^4+P9*2^5+P8*2^6+P7*2^7,2)</f>
        <v>03</v>
      </c>
      <c r="AA4" t="str">
        <f>DEC2HEX(M10*2^0+M9*2^1+M8*2^2+M7*2^3+Q10*2^4+Q9*2^5+Q8*2^6+Q7*2^7,2)</f>
        <v>03</v>
      </c>
      <c r="AC4" t="s">
        <v>29</v>
      </c>
      <c r="AD4" t="s">
        <v>37</v>
      </c>
      <c r="AE4" t="s">
        <v>35</v>
      </c>
      <c r="AF4" t="s">
        <v>34</v>
      </c>
      <c r="AG4" t="s">
        <v>38</v>
      </c>
      <c r="AH4" t="s">
        <v>47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E0</v>
      </c>
      <c r="U5" t="str">
        <f>DEC2HEX(C14*2^0+C13*2^1+C12*2^2+C11*2^3+G14*2^4+G13*2^5+G12*2^6+G11*2^7,2)</f>
        <v>70</v>
      </c>
      <c r="V5" t="str">
        <f>DEC2HEX(D14*2^0+D13*2^1+D12*2^2+D11*2^3+H14*2^4+H13*2^5+H12*2^6+H11*2^7,2)</f>
        <v>30</v>
      </c>
      <c r="W5" t="str">
        <f>DEC2HEX(E14*2^0+E13*2^1+E12*2^2+E11*2^3+I14*2^4+I13*2^5+I12*2^6+I11*2^7,2)</f>
        <v>38</v>
      </c>
      <c r="X5" t="str">
        <f>DEC2HEX(J14*2^0+J13*2^1+J12*2^2+J11*2^3+N14*2^4+N13*2^5+N12*2^6+N11*2^7,2)</f>
        <v>07</v>
      </c>
      <c r="Y5" t="str">
        <f>DEC2HEX(K14*2^0+K13*2^1+K12*2^2+K11*2^3+O14*2^4+O13*2^5+O12*2^6+O11*2^7,2)</f>
        <v>0E</v>
      </c>
      <c r="Z5" t="str">
        <f>DEC2HEX(L14*2^0+L13*2^1+L12*2^2+L11*2^3+P14*2^4+P13*2^5+P12*2^6+P11*2^7,2)</f>
        <v>08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35</v>
      </c>
      <c r="AF5" t="s">
        <v>107</v>
      </c>
      <c r="AG5" t="s">
        <v>104</v>
      </c>
      <c r="AH5" t="s">
        <v>42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30</v>
      </c>
      <c r="U6" t="str">
        <f>DEC2HEX(C18*2^0+C17*2^1+C16*2^2+C15*2^3+G18*2^4+G17*2^5+G16*2^6+G15*2^7,2)</f>
        <v>70</v>
      </c>
      <c r="V6" t="str">
        <f>DEC2HEX(D18*2^0+D17*2^1+D16*2^2+D15*2^3+H18*2^4+H17*2^5+H16*2^6+H15*2^7,2)</f>
        <v>E0</v>
      </c>
      <c r="W6" t="str">
        <f>DEC2HEX(E18*2^0+E17*2^1+E16*2^2+E15*2^3+I18*2^4+I17*2^5+I16*2^6+I15*2^7,2)</f>
        <v>E1</v>
      </c>
      <c r="X6" t="str">
        <f>DEC2HEX(J18*2^0+J17*2^1+J16*2^2+J15*2^3+N18*2^4+N17*2^5+N16*2^6+N15*2^7,2)</f>
        <v>07</v>
      </c>
      <c r="Y6" t="str">
        <f>DEC2HEX(K18*2^0+K17*2^1+K16*2^2+K15*2^3+O18*2^4+O17*2^5+O16*2^6+O15*2^7,2)</f>
        <v>03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88</v>
      </c>
      <c r="AF6" t="s">
        <v>62</v>
      </c>
      <c r="AG6" t="s">
        <v>62</v>
      </c>
      <c r="AH6" t="s">
        <v>88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80</v>
      </c>
      <c r="U7" t="str">
        <f>DEC2HEX(C22*2^0+C21*2^1+C20*2^2+C19*2^3+G22*2^4+G21*2^5+G20*2^6+G19*2^7,2)</f>
        <v>02</v>
      </c>
      <c r="V7" t="str">
        <f>DEC2HEX(D22*2^0+D21*2^1+D20*2^2+D19*2^3+H22*2^4+H21*2^5+H20*2^6+H19*2^7,2)</f>
        <v>06</v>
      </c>
      <c r="W7" t="str">
        <f>DEC2HEX(E22*2^0+E21*2^1+E20*2^2+E19*2^3+I22*2^4+I21*2^5+I20*2^6+I19*2^7,2)</f>
        <v>0E</v>
      </c>
      <c r="X7" t="str">
        <f>DEC2HEX(J22*2^0+J21*2^1+J20*2^2+J19*2^3+N22*2^4+N21*2^5+N20*2^6+N19*2^7,2)</f>
        <v>20</v>
      </c>
      <c r="Y7" t="str">
        <f>DEC2HEX(K22*2^0+K21*2^1+K20*2^2+K19*2^3+O22*2^4+O21*2^5+O20*2^6+O19*2^7,2)</f>
        <v>08</v>
      </c>
      <c r="Z7" t="str">
        <f>DEC2HEX(L22*2^0+L21*2^1+L20*2^2+L19*2^3+P22*2^4+P21*2^5+P20*2^6+P19*2^7,2)</f>
        <v>0E</v>
      </c>
      <c r="AA7" t="str">
        <f>DEC2HEX(M22*2^0+M21*2^1+M20*2^2+M19*2^3+Q22*2^4+Q21*2^5+Q20*2^6+Q19*2^7,2)</f>
        <v>06</v>
      </c>
      <c r="AC7" t="s">
        <v>31</v>
      </c>
      <c r="AD7" t="s">
        <v>37</v>
      </c>
      <c r="AE7" t="s">
        <v>36</v>
      </c>
      <c r="AF7" t="s">
        <v>42</v>
      </c>
      <c r="AG7" t="s">
        <v>35</v>
      </c>
      <c r="AH7" t="s">
        <v>41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35</v>
      </c>
      <c r="AF8" t="s">
        <v>41</v>
      </c>
      <c r="AG8" t="s">
        <v>37</v>
      </c>
      <c r="AH8" t="s">
        <v>42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1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1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35</v>
      </c>
      <c r="AF9" t="s">
        <v>37</v>
      </c>
      <c r="AG9" t="s">
        <v>37</v>
      </c>
      <c r="AH9" t="s">
        <v>47</v>
      </c>
      <c r="AI9" t="s">
        <v>37</v>
      </c>
    </row>
    <row r="10" spans="1:35" x14ac:dyDescent="0.25">
      <c r="A10">
        <v>7</v>
      </c>
      <c r="B10" s="10">
        <v>0</v>
      </c>
      <c r="C10" s="10">
        <v>0</v>
      </c>
      <c r="D10" s="10">
        <v>1</v>
      </c>
      <c r="E10" s="10">
        <v>1</v>
      </c>
      <c r="F10" s="10">
        <v>1</v>
      </c>
      <c r="G10" s="10">
        <v>0</v>
      </c>
      <c r="H10" s="10">
        <v>0</v>
      </c>
      <c r="I10" s="10">
        <v>0</v>
      </c>
      <c r="J10" s="10">
        <v>0</v>
      </c>
      <c r="K10" s="10">
        <v>1</v>
      </c>
      <c r="L10" s="10">
        <v>1</v>
      </c>
      <c r="M10" s="10">
        <v>1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1</v>
      </c>
      <c r="F11" s="10">
        <v>1</v>
      </c>
      <c r="G11" s="10">
        <v>0</v>
      </c>
      <c r="H11" s="10">
        <v>0</v>
      </c>
      <c r="I11" s="10">
        <v>0</v>
      </c>
      <c r="J11" s="10">
        <v>0</v>
      </c>
      <c r="K11" s="10">
        <v>1</v>
      </c>
      <c r="L11" s="10">
        <v>1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1</v>
      </c>
      <c r="G12" s="10">
        <v>1</v>
      </c>
      <c r="H12" s="10">
        <v>0</v>
      </c>
      <c r="I12" s="10">
        <v>0</v>
      </c>
      <c r="J12" s="10">
        <v>1</v>
      </c>
      <c r="K12" s="10">
        <v>1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1</v>
      </c>
      <c r="G13" s="10">
        <v>1</v>
      </c>
      <c r="H13" s="10">
        <v>1</v>
      </c>
      <c r="I13" s="10">
        <v>1</v>
      </c>
      <c r="J13" s="10">
        <v>1</v>
      </c>
      <c r="K13" s="10">
        <v>1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x_D2[6]={0x00,0x10,0xE0,0x30,0x80,0x00};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H14" s="10">
        <v>1</v>
      </c>
      <c r="I14" s="10">
        <v>1</v>
      </c>
      <c r="J14" s="10">
        <v>1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x_C2[6]={0x00,0x02,0x70,0x70,0x02,0x00};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0</v>
      </c>
      <c r="G15" s="10">
        <v>0</v>
      </c>
      <c r="H15" s="10">
        <v>1</v>
      </c>
      <c r="I15" s="10">
        <v>1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0x10</v>
      </c>
      <c r="U15" t="str">
        <f t="shared" si="1"/>
        <v>0x02</v>
      </c>
      <c r="V15" t="str">
        <f t="shared" si="1"/>
        <v>0x03</v>
      </c>
      <c r="W15" t="str">
        <f t="shared" si="1"/>
        <v>0x03</v>
      </c>
      <c r="X15" t="str">
        <f t="shared" si="1"/>
        <v>0x20</v>
      </c>
      <c r="Y15" t="str">
        <f t="shared" si="1"/>
        <v>0x01</v>
      </c>
      <c r="Z15" t="str">
        <f t="shared" si="1"/>
        <v>0x03</v>
      </c>
      <c r="AA15" t="str">
        <f t="shared" si="1"/>
        <v>0x03</v>
      </c>
      <c r="AC15" t="str">
        <f t="shared" si="0"/>
        <v>const uint8_t x_B2[6]={0x00,0x03,0x30,0xE0,0x06,0x00};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0</v>
      </c>
      <c r="G16" s="10">
        <v>1</v>
      </c>
      <c r="H16" s="10">
        <v>1</v>
      </c>
      <c r="I16" s="10">
        <v>1</v>
      </c>
      <c r="J16" s="10">
        <v>1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0xE0</v>
      </c>
      <c r="U16" t="str">
        <f t="shared" si="1"/>
        <v>0x70</v>
      </c>
      <c r="V16" t="str">
        <f t="shared" si="1"/>
        <v>0x30</v>
      </c>
      <c r="W16" t="str">
        <f t="shared" si="1"/>
        <v>0x38</v>
      </c>
      <c r="X16" t="str">
        <f t="shared" si="1"/>
        <v>0x07</v>
      </c>
      <c r="Y16" t="str">
        <f t="shared" si="1"/>
        <v>0x0E</v>
      </c>
      <c r="Z16" t="str">
        <f t="shared" si="1"/>
        <v>0x08</v>
      </c>
      <c r="AA16" t="str">
        <f t="shared" si="1"/>
        <v>0x00</v>
      </c>
      <c r="AC16" t="str">
        <f t="shared" si="0"/>
        <v>const uint8_t x_A2[6]={0x00,0x03,0x38,0xE1,0x0E,0x00};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1</v>
      </c>
      <c r="I17" s="10">
        <v>1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0x30</v>
      </c>
      <c r="U17" t="str">
        <f t="shared" si="1"/>
        <v>0x70</v>
      </c>
      <c r="V17" t="str">
        <f t="shared" si="1"/>
        <v>0xE0</v>
      </c>
      <c r="W17" t="str">
        <f t="shared" si="1"/>
        <v>0xE1</v>
      </c>
      <c r="X17" t="str">
        <f t="shared" si="1"/>
        <v>0x07</v>
      </c>
      <c r="Y17" t="str">
        <f t="shared" si="1"/>
        <v>0x03</v>
      </c>
      <c r="Z17" t="str">
        <f t="shared" si="1"/>
        <v>0x00</v>
      </c>
      <c r="AA17" t="str">
        <f t="shared" si="1"/>
        <v>0x00</v>
      </c>
      <c r="AC17" t="str">
        <f t="shared" si="0"/>
        <v>const uint8_t x_D1[6]={0x00,0x20,0x07,0x07,0x20,0x00};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1</v>
      </c>
      <c r="F18" s="10">
        <v>1</v>
      </c>
      <c r="G18" s="10">
        <v>1</v>
      </c>
      <c r="H18" s="10">
        <v>0</v>
      </c>
      <c r="I18" s="10">
        <v>0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0x80</v>
      </c>
      <c r="U18" t="str">
        <f t="shared" si="1"/>
        <v>0x02</v>
      </c>
      <c r="V18" t="str">
        <f t="shared" si="1"/>
        <v>0x06</v>
      </c>
      <c r="W18" t="str">
        <f t="shared" si="1"/>
        <v>0x0E</v>
      </c>
      <c r="X18" t="str">
        <f t="shared" si="1"/>
        <v>0x20</v>
      </c>
      <c r="Y18" t="str">
        <f t="shared" si="1"/>
        <v>0x08</v>
      </c>
      <c r="Z18" t="str">
        <f t="shared" si="1"/>
        <v>0x0E</v>
      </c>
      <c r="AA18" t="str">
        <f t="shared" si="1"/>
        <v>0x06</v>
      </c>
      <c r="AC18" t="str">
        <f t="shared" si="0"/>
        <v>const uint8_t x_C1[6]={0x00,0x01,0x0E,0x03,0x08,0x00};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1</v>
      </c>
      <c r="F19" s="10">
        <v>1</v>
      </c>
      <c r="G19" s="10">
        <v>0</v>
      </c>
      <c r="H19" s="10">
        <v>0</v>
      </c>
      <c r="I19" s="10">
        <v>0</v>
      </c>
      <c r="J19" s="10">
        <v>0</v>
      </c>
      <c r="K19" s="10">
        <v>1</v>
      </c>
      <c r="L19" s="10">
        <v>1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x_B1[6]={0x00,0x03,0x08,0x00,0x0E,0x00};</v>
      </c>
    </row>
    <row r="20" spans="1:29" x14ac:dyDescent="0.25">
      <c r="A20">
        <v>17</v>
      </c>
      <c r="B20" s="10">
        <v>0</v>
      </c>
      <c r="C20" s="10">
        <v>0</v>
      </c>
      <c r="D20" s="10">
        <v>1</v>
      </c>
      <c r="E20" s="10">
        <v>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1</v>
      </c>
      <c r="M20" s="10">
        <v>1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x_A1[6]={0x00,0x03,0x00,0x00,0x06,0x00};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1</v>
      </c>
      <c r="M21" s="10">
        <v>1</v>
      </c>
      <c r="N21" s="10">
        <v>1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11" priority="1" operator="equal">
      <formula>2</formula>
    </cfRule>
    <cfRule type="cellIs" dxfId="10" priority="2" operator="equal">
      <formula>1</formula>
    </cfRule>
    <cfRule type="cellIs" dxfId="9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5D098-2D4C-4D88-9889-85CCFD5E541B}">
  <sheetPr codeName="Planilha65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22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37</v>
      </c>
      <c r="AF2" t="s">
        <v>34</v>
      </c>
      <c r="AG2" t="s">
        <v>38</v>
      </c>
      <c r="AH2" t="s">
        <v>37</v>
      </c>
      <c r="AI2" t="s">
        <v>34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35</v>
      </c>
      <c r="AF3" t="s">
        <v>37</v>
      </c>
      <c r="AG3" t="s">
        <v>51</v>
      </c>
      <c r="AH3" t="s">
        <v>44</v>
      </c>
      <c r="AI3" t="s">
        <v>108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00</v>
      </c>
      <c r="U4" t="str">
        <f>DEC2HEX(C10*2^0+C9*2^1+C8*2^2+C7*2^3+G10*2^4+G9*2^5+G8*2^6+G7*2^7,2)</f>
        <v>03</v>
      </c>
      <c r="V4" t="str">
        <f>DEC2HEX(D10*2^0+D9*2^1+D8*2^2+D7*2^3+H10*2^4+H9*2^5+H8*2^6+H7*2^7,2)</f>
        <v>03</v>
      </c>
      <c r="W4" t="str">
        <f>DEC2HEX(E10*2^0+E9*2^1+E8*2^2+E7*2^3+I10*2^4+I9*2^5+I8*2^6+I7*2^7,2)</f>
        <v>01</v>
      </c>
      <c r="X4" t="str">
        <f>DEC2HEX(J10*2^0+J9*2^1+J8*2^2+J7*2^3+N10*2^4+N9*2^5+N8*2^6+N7*2^7,2)</f>
        <v>30</v>
      </c>
      <c r="Y4" t="str">
        <f>DEC2HEX(K10*2^0+K9*2^1+K8*2^2+K7*2^3+O10*2^4+O9*2^5+O8*2^6+O7*2^7,2)</f>
        <v>00</v>
      </c>
      <c r="Z4" t="str">
        <f>DEC2HEX(L10*2^0+L9*2^1+L8*2^2+L7*2^3+P10*2^4+P9*2^5+P8*2^6+P7*2^7,2)</f>
        <v>01</v>
      </c>
      <c r="AA4" t="str">
        <f>DEC2HEX(M10*2^0+M9*2^1+M8*2^2+M7*2^3+Q10*2^4+Q9*2^5+Q8*2^6+Q7*2^7,2)</f>
        <v>03</v>
      </c>
      <c r="AC4" t="s">
        <v>29</v>
      </c>
      <c r="AD4" t="s">
        <v>37</v>
      </c>
      <c r="AE4" t="s">
        <v>35</v>
      </c>
      <c r="AF4" t="s">
        <v>48</v>
      </c>
      <c r="AG4" t="s">
        <v>33</v>
      </c>
      <c r="AH4" t="s">
        <v>43</v>
      </c>
      <c r="AI4" t="s">
        <v>104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30</v>
      </c>
      <c r="U5" t="str">
        <f>DEC2HEX(C14*2^0+C13*2^1+C12*2^2+C11*2^3+G14*2^4+G13*2^5+G12*2^6+G11*2^7,2)</f>
        <v>00</v>
      </c>
      <c r="V5" t="str">
        <f>DEC2HEX(D14*2^0+D13*2^1+D12*2^2+D11*2^3+H14*2^4+H13*2^5+H12*2^6+H11*2^7,2)</f>
        <v>0C</v>
      </c>
      <c r="W5" t="str">
        <f>DEC2HEX(E14*2^0+E13*2^1+E12*2^2+E11*2^3+I14*2^4+I13*2^5+I12*2^6+I11*2^7,2)</f>
        <v>0F</v>
      </c>
      <c r="X5" t="str">
        <f>DEC2HEX(J14*2^0+J13*2^1+J12*2^2+J11*2^3+N14*2^4+N13*2^5+N12*2^6+N11*2^7,2)</f>
        <v>00</v>
      </c>
      <c r="Y5" t="str">
        <f>DEC2HEX(K14*2^0+K13*2^1+K12*2^2+K11*2^3+O14*2^4+O13*2^5+O12*2^6+O11*2^7,2)</f>
        <v>03</v>
      </c>
      <c r="Z5" t="str">
        <f>DEC2HEX(L14*2^0+L13*2^1+L12*2^2+L11*2^3+P14*2^4+P13*2^5+P12*2^6+P11*2^7,2)</f>
        <v>0F</v>
      </c>
      <c r="AA5" t="str">
        <f>DEC2HEX(M14*2^0+M13*2^1+M12*2^2+M11*2^3+Q14*2^4+Q13*2^5+Q12*2^6+Q11*2^7,2)</f>
        <v>0E</v>
      </c>
      <c r="AC5" t="s">
        <v>2</v>
      </c>
      <c r="AD5" t="s">
        <v>37</v>
      </c>
      <c r="AE5" t="s">
        <v>36</v>
      </c>
      <c r="AF5" t="s">
        <v>40</v>
      </c>
      <c r="AG5" t="s">
        <v>81</v>
      </c>
      <c r="AH5" t="s">
        <v>43</v>
      </c>
      <c r="AI5" t="s">
        <v>64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E0</v>
      </c>
      <c r="U6" t="str">
        <f>DEC2HEX(C18*2^0+C17*2^1+C16*2^2+C15*2^3+G18*2^4+G17*2^5+G16*2^6+G15*2^7,2)</f>
        <v>70</v>
      </c>
      <c r="V6" t="str">
        <f>DEC2HEX(D18*2^0+D17*2^1+D16*2^2+D15*2^3+H18*2^4+H17*2^5+H16*2^6+H15*2^7,2)</f>
        <v>10</v>
      </c>
      <c r="W6" t="str">
        <f>DEC2HEX(E18*2^0+E17*2^1+E16*2^2+E15*2^3+I18*2^4+I17*2^5+I16*2^6+I15*2^7,2)</f>
        <v>18</v>
      </c>
      <c r="X6" t="str">
        <f>DEC2HEX(J18*2^0+J17*2^1+J16*2^2+J15*2^3+N18*2^4+N17*2^5+N16*2^6+N15*2^7,2)</f>
        <v>07</v>
      </c>
      <c r="Y6" t="str">
        <f>DEC2HEX(K18*2^0+K17*2^1+K16*2^2+K15*2^3+O18*2^4+O17*2^5+O16*2^6+O15*2^7,2)</f>
        <v>0F</v>
      </c>
      <c r="Z6" t="str">
        <f>DEC2HEX(L18*2^0+L17*2^1+L16*2^2+L15*2^3+P18*2^4+P17*2^5+P16*2^6+P15*2^7,2)</f>
        <v>08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34</v>
      </c>
      <c r="AF6" t="s">
        <v>37</v>
      </c>
      <c r="AG6" t="s">
        <v>62</v>
      </c>
      <c r="AH6" t="s">
        <v>48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00</v>
      </c>
      <c r="U7" t="str">
        <f>DEC2HEX(C22*2^0+C21*2^1+C20*2^2+C19*2^3+G22*2^4+G21*2^5+G20*2^6+G19*2^7,2)</f>
        <v>C0</v>
      </c>
      <c r="V7" t="str">
        <f>DEC2HEX(D22*2^0+D21*2^1+D20*2^2+D19*2^3+H22*2^4+H21*2^5+H20*2^6+H19*2^7,2)</f>
        <v>F0</v>
      </c>
      <c r="W7" t="str">
        <f>DEC2HEX(E22*2^0+E21*2^1+E20*2^2+E19*2^3+I22*2^4+I21*2^5+I20*2^6+I19*2^7,2)</f>
        <v>F0</v>
      </c>
      <c r="X7" t="str">
        <f>DEC2HEX(J22*2^0+J21*2^1+J20*2^2+J19*2^3+N22*2^4+N21*2^5+N20*2^6+N19*2^7,2)</f>
        <v>0C</v>
      </c>
      <c r="Y7" t="str">
        <f>DEC2HEX(K22*2^0+K21*2^1+K20*2^2+K19*2^3+O22*2^4+O21*2^5+O20*2^6+O19*2^7,2)</f>
        <v>00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37</v>
      </c>
      <c r="AF7" t="s">
        <v>35</v>
      </c>
      <c r="AG7" t="s">
        <v>40</v>
      </c>
      <c r="AH7" t="s">
        <v>37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30</v>
      </c>
      <c r="U8" t="str">
        <f>DEC2HEX(C26*2^0+C25*2^1+C24*2^2+C23*2^3+G26*2^4+G25*2^5+G24*2^6+G23*2^7,2)</f>
        <v>71</v>
      </c>
      <c r="V8" t="str">
        <f>DEC2HEX(D26*2^0+D25*2^1+D24*2^2+D23*2^3+H26*2^4+H25*2^5+H24*2^6+H23*2^7,2)</f>
        <v>E1</v>
      </c>
      <c r="W8" t="str">
        <f>DEC2HEX(E26*2^0+E25*2^1+E24*2^2+E23*2^3+I26*2^4+I25*2^5+I24*2^6+I23*2^7,2)</f>
        <v>81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36</v>
      </c>
      <c r="AF8" t="s">
        <v>40</v>
      </c>
      <c r="AG8" t="s">
        <v>41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1</v>
      </c>
      <c r="N9" s="10">
        <v>1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35</v>
      </c>
      <c r="AF9" t="s">
        <v>42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1</v>
      </c>
      <c r="M10" s="10">
        <v>1</v>
      </c>
      <c r="N10" s="10">
        <v>1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1</v>
      </c>
      <c r="E11" s="10">
        <v>1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1</v>
      </c>
      <c r="M11" s="10">
        <v>1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1</v>
      </c>
      <c r="E12" s="10">
        <v>1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1</v>
      </c>
      <c r="M12" s="10">
        <v>1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1</v>
      </c>
      <c r="F13" s="10">
        <v>1</v>
      </c>
      <c r="G13" s="10">
        <v>0</v>
      </c>
      <c r="H13" s="10">
        <v>0</v>
      </c>
      <c r="I13" s="10">
        <v>0</v>
      </c>
      <c r="J13" s="10">
        <v>0</v>
      </c>
      <c r="K13" s="10">
        <v>1</v>
      </c>
      <c r="L13" s="10">
        <v>1</v>
      </c>
      <c r="M13" s="10">
        <v>1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y_D2[6]={0x00,0x00,0x30,0xE0,0x00,0x30};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1</v>
      </c>
      <c r="F14" s="10">
        <v>1</v>
      </c>
      <c r="G14" s="10">
        <v>0</v>
      </c>
      <c r="H14" s="10">
        <v>0</v>
      </c>
      <c r="I14" s="10">
        <v>0</v>
      </c>
      <c r="J14" s="10">
        <v>0</v>
      </c>
      <c r="K14" s="10">
        <v>1</v>
      </c>
      <c r="L14" s="10">
        <v>1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y_C2[6]={0x00,0x03,0x00,0x70,0xC0,0x71};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1</v>
      </c>
      <c r="F15" s="10">
        <v>1</v>
      </c>
      <c r="G15" s="10">
        <v>0</v>
      </c>
      <c r="H15" s="10">
        <v>0</v>
      </c>
      <c r="I15" s="10">
        <v>0</v>
      </c>
      <c r="J15" s="10">
        <v>0</v>
      </c>
      <c r="K15" s="10">
        <v>1</v>
      </c>
      <c r="L15" s="10">
        <v>1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0x00</v>
      </c>
      <c r="U15" t="str">
        <f t="shared" si="1"/>
        <v>0x03</v>
      </c>
      <c r="V15" t="str">
        <f t="shared" si="1"/>
        <v>0x03</v>
      </c>
      <c r="W15" t="str">
        <f t="shared" si="1"/>
        <v>0x01</v>
      </c>
      <c r="X15" t="str">
        <f t="shared" si="1"/>
        <v>0x30</v>
      </c>
      <c r="Y15" t="str">
        <f t="shared" si="1"/>
        <v>0x00</v>
      </c>
      <c r="Z15" t="str">
        <f t="shared" si="1"/>
        <v>0x01</v>
      </c>
      <c r="AA15" t="str">
        <f t="shared" si="1"/>
        <v>0x03</v>
      </c>
      <c r="AC15" t="str">
        <f t="shared" si="0"/>
        <v>const uint8_t y_B2[6]={0x00,0x03,0x0C,0x10,0xF0,0xE1};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1</v>
      </c>
      <c r="G16" s="10">
        <v>1</v>
      </c>
      <c r="H16" s="10">
        <v>0</v>
      </c>
      <c r="I16" s="10">
        <v>0</v>
      </c>
      <c r="J16" s="10">
        <v>1</v>
      </c>
      <c r="K16" s="10">
        <v>1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0x30</v>
      </c>
      <c r="U16" t="str">
        <f t="shared" si="1"/>
        <v>0x00</v>
      </c>
      <c r="V16" t="str">
        <f t="shared" si="1"/>
        <v>0x0C</v>
      </c>
      <c r="W16" t="str">
        <f t="shared" si="1"/>
        <v>0x0F</v>
      </c>
      <c r="X16" t="str">
        <f t="shared" si="1"/>
        <v>0x00</v>
      </c>
      <c r="Y16" t="str">
        <f t="shared" si="1"/>
        <v>0x03</v>
      </c>
      <c r="Z16" t="str">
        <f t="shared" si="1"/>
        <v>0x0F</v>
      </c>
      <c r="AA16" t="str">
        <f t="shared" si="1"/>
        <v>0x0E</v>
      </c>
      <c r="AC16" t="str">
        <f t="shared" si="0"/>
        <v>const uint8_t y_A2[6]={0x00,0x01,0x0F,0x18,0xF0,0x81};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0</v>
      </c>
      <c r="F17" s="10">
        <v>1</v>
      </c>
      <c r="G17" s="10">
        <v>1</v>
      </c>
      <c r="H17" s="10">
        <v>0</v>
      </c>
      <c r="I17" s="10">
        <v>0</v>
      </c>
      <c r="J17" s="10">
        <v>1</v>
      </c>
      <c r="K17" s="10">
        <v>1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0xE0</v>
      </c>
      <c r="U17" t="str">
        <f t="shared" si="1"/>
        <v>0x70</v>
      </c>
      <c r="V17" t="str">
        <f t="shared" si="1"/>
        <v>0x10</v>
      </c>
      <c r="W17" t="str">
        <f t="shared" si="1"/>
        <v>0x18</v>
      </c>
      <c r="X17" t="str">
        <f t="shared" si="1"/>
        <v>0x07</v>
      </c>
      <c r="Y17" t="str">
        <f t="shared" si="1"/>
        <v>0x0F</v>
      </c>
      <c r="Z17" t="str">
        <f t="shared" si="1"/>
        <v>0x08</v>
      </c>
      <c r="AA17" t="str">
        <f t="shared" si="1"/>
        <v>0x00</v>
      </c>
      <c r="AC17" t="str">
        <f t="shared" si="0"/>
        <v>const uint8_t y_D1[6]={0x00,0x30,0x00,0x07,0x0C,0x00};</v>
      </c>
    </row>
    <row r="18" spans="1:29" x14ac:dyDescent="0.25">
      <c r="A18">
        <v>15</v>
      </c>
      <c r="B18" s="10">
        <v>0</v>
      </c>
      <c r="C18" s="10">
        <v>0</v>
      </c>
      <c r="D18" s="10">
        <v>0</v>
      </c>
      <c r="E18" s="10">
        <v>0</v>
      </c>
      <c r="F18" s="10">
        <v>0</v>
      </c>
      <c r="G18" s="10">
        <v>1</v>
      </c>
      <c r="H18" s="10">
        <v>1</v>
      </c>
      <c r="I18" s="10">
        <v>1</v>
      </c>
      <c r="J18" s="10">
        <v>1</v>
      </c>
      <c r="K18" s="10">
        <v>1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0x00</v>
      </c>
      <c r="U18" t="str">
        <f t="shared" si="1"/>
        <v>0xC0</v>
      </c>
      <c r="V18" t="str">
        <f t="shared" si="1"/>
        <v>0xF0</v>
      </c>
      <c r="W18" t="str">
        <f t="shared" si="1"/>
        <v>0xF0</v>
      </c>
      <c r="X18" t="str">
        <f t="shared" si="1"/>
        <v>0x0C</v>
      </c>
      <c r="Y18" t="str">
        <f t="shared" si="1"/>
        <v>0x00</v>
      </c>
      <c r="Z18" t="str">
        <f t="shared" si="1"/>
        <v>0x00</v>
      </c>
      <c r="AA18" t="str">
        <f t="shared" si="1"/>
        <v>0x00</v>
      </c>
      <c r="AC18" t="str">
        <f t="shared" si="0"/>
        <v>const uint8_t y_C1[6]={0x00,0x00,0x03,0x0F,0x00,0x00};</v>
      </c>
    </row>
    <row r="19" spans="1:29" x14ac:dyDescent="0.25">
      <c r="A19">
        <v>16</v>
      </c>
      <c r="B19" s="10">
        <v>0</v>
      </c>
      <c r="C19" s="10">
        <v>0</v>
      </c>
      <c r="D19" s="10">
        <v>0</v>
      </c>
      <c r="E19" s="10">
        <v>0</v>
      </c>
      <c r="F19" s="10">
        <v>0</v>
      </c>
      <c r="G19" s="10">
        <v>1</v>
      </c>
      <c r="H19" s="10">
        <v>1</v>
      </c>
      <c r="I19" s="10">
        <v>1</v>
      </c>
      <c r="J19" s="10">
        <v>1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0x30</v>
      </c>
      <c r="U19" t="str">
        <f t="shared" si="1"/>
        <v>0x71</v>
      </c>
      <c r="V19" t="str">
        <f t="shared" si="1"/>
        <v>0xE1</v>
      </c>
      <c r="W19" t="str">
        <f t="shared" si="1"/>
        <v>0x81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y_B1[6]={0x00,0x01,0x0F,0x08,0x00,0x00};</v>
      </c>
    </row>
    <row r="20" spans="1:29" x14ac:dyDescent="0.25">
      <c r="A20">
        <v>17</v>
      </c>
      <c r="B20" s="10">
        <v>0</v>
      </c>
      <c r="C20" s="10">
        <v>0</v>
      </c>
      <c r="D20" s="10">
        <v>0</v>
      </c>
      <c r="E20" s="10">
        <v>0</v>
      </c>
      <c r="F20" s="10">
        <v>0</v>
      </c>
      <c r="G20" s="10">
        <v>1</v>
      </c>
      <c r="H20" s="10">
        <v>1</v>
      </c>
      <c r="I20" s="10">
        <v>1</v>
      </c>
      <c r="J20" s="10">
        <v>1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y_A1[6]={0x00,0x03,0x0E,0x00,0x00,0x00};</v>
      </c>
    </row>
    <row r="21" spans="1:29" x14ac:dyDescent="0.25">
      <c r="A21">
        <v>18</v>
      </c>
      <c r="B21" s="10">
        <v>0</v>
      </c>
      <c r="C21" s="10">
        <v>0</v>
      </c>
      <c r="D21" s="10">
        <v>0</v>
      </c>
      <c r="E21" s="10">
        <v>0</v>
      </c>
      <c r="F21" s="10">
        <v>0</v>
      </c>
      <c r="G21" s="10">
        <v>0</v>
      </c>
      <c r="H21" s="10">
        <v>1</v>
      </c>
      <c r="I21" s="10">
        <v>1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1</v>
      </c>
      <c r="I22" s="10">
        <v>1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1</v>
      </c>
      <c r="I23" s="10">
        <v>1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1</v>
      </c>
      <c r="H24" s="10">
        <v>1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1</v>
      </c>
      <c r="G25" s="10">
        <v>1</v>
      </c>
      <c r="H25" s="10">
        <v>1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1</v>
      </c>
      <c r="D26" s="10">
        <v>1</v>
      </c>
      <c r="E26" s="10">
        <v>1</v>
      </c>
      <c r="F26" s="10">
        <v>1</v>
      </c>
      <c r="G26" s="10">
        <v>1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8" priority="1" operator="equal">
      <formula>2</formula>
    </cfRule>
    <cfRule type="cellIs" dxfId="7" priority="2" operator="equal">
      <formula>1</formula>
    </cfRule>
    <cfRule type="cellIs" dxfId="6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1D7BE-0BA6-4CB7-A41A-533D5AEB051B}">
  <sheetPr codeName="Planilha66"/>
  <dimension ref="A1:AI30"/>
  <sheetViews>
    <sheetView workbookViewId="0">
      <selection activeCell="AC1" sqref="AC1"/>
    </sheetView>
  </sheetViews>
  <sheetFormatPr defaultRowHeight="15" x14ac:dyDescent="0.25"/>
  <cols>
    <col min="2" max="17" width="2.85546875" customWidth="1"/>
  </cols>
  <sheetData>
    <row r="1" spans="1:35" x14ac:dyDescent="0.25">
      <c r="B1" t="s">
        <v>27</v>
      </c>
      <c r="C1" t="s">
        <v>28</v>
      </c>
      <c r="D1" t="s">
        <v>29</v>
      </c>
      <c r="E1" t="s">
        <v>2</v>
      </c>
      <c r="F1" t="s">
        <v>27</v>
      </c>
      <c r="G1" t="s">
        <v>28</v>
      </c>
      <c r="H1" t="s">
        <v>29</v>
      </c>
      <c r="I1" t="s">
        <v>2</v>
      </c>
      <c r="J1" t="s">
        <v>30</v>
      </c>
      <c r="K1" t="s">
        <v>31</v>
      </c>
      <c r="L1" t="s">
        <v>32</v>
      </c>
      <c r="M1" t="s">
        <v>1</v>
      </c>
      <c r="N1" t="s">
        <v>30</v>
      </c>
      <c r="O1" t="s">
        <v>31</v>
      </c>
      <c r="P1" t="s">
        <v>32</v>
      </c>
      <c r="Q1" t="s">
        <v>1</v>
      </c>
      <c r="AB1" t="s">
        <v>154</v>
      </c>
    </row>
    <row r="2" spans="1:35" x14ac:dyDescent="0.25">
      <c r="B2">
        <v>0</v>
      </c>
      <c r="C2">
        <v>1</v>
      </c>
      <c r="D2">
        <v>2</v>
      </c>
      <c r="E2">
        <v>3</v>
      </c>
      <c r="F2">
        <v>4</v>
      </c>
      <c r="G2">
        <v>5</v>
      </c>
      <c r="H2">
        <v>6</v>
      </c>
      <c r="I2">
        <v>7</v>
      </c>
      <c r="J2">
        <v>8</v>
      </c>
      <c r="K2">
        <v>9</v>
      </c>
      <c r="L2">
        <v>10</v>
      </c>
      <c r="M2">
        <v>11</v>
      </c>
      <c r="N2">
        <v>12</v>
      </c>
      <c r="O2">
        <v>13</v>
      </c>
      <c r="P2">
        <v>14</v>
      </c>
      <c r="Q2">
        <v>15</v>
      </c>
      <c r="T2" t="s">
        <v>27</v>
      </c>
      <c r="U2" t="s">
        <v>28</v>
      </c>
      <c r="V2" t="s">
        <v>29</v>
      </c>
      <c r="W2" t="s">
        <v>2</v>
      </c>
      <c r="X2" t="s">
        <v>30</v>
      </c>
      <c r="Y2" t="s">
        <v>31</v>
      </c>
      <c r="Z2" t="s">
        <v>32</v>
      </c>
      <c r="AA2" t="s">
        <v>1</v>
      </c>
      <c r="AC2" t="s">
        <v>27</v>
      </c>
      <c r="AD2" t="s">
        <v>37</v>
      </c>
      <c r="AE2" t="s">
        <v>34</v>
      </c>
      <c r="AF2" t="s">
        <v>37</v>
      </c>
      <c r="AG2" t="s">
        <v>43</v>
      </c>
      <c r="AH2" t="s">
        <v>45</v>
      </c>
      <c r="AI2" t="s">
        <v>37</v>
      </c>
    </row>
    <row r="3" spans="1:35" x14ac:dyDescent="0.25">
      <c r="A3">
        <v>0</v>
      </c>
      <c r="B3" s="10">
        <v>0</v>
      </c>
      <c r="C3" s="10">
        <v>0</v>
      </c>
      <c r="D3" s="10">
        <v>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R3">
        <v>0</v>
      </c>
      <c r="T3" t="str">
        <f>DEC2HEX(B6*2^0+B5*2^1+B4*2^2+B3*2^3+F6*2^4+F5*2^5+F4*2^6+F3*2^7,2)</f>
        <v>00</v>
      </c>
      <c r="U3" t="str">
        <f>DEC2HEX(C6*2^0+C5*2^1+C4*2^2+C3*2^3+G6*2^4+G5*2^5+G4*2^6+G3*2^7,2)</f>
        <v>00</v>
      </c>
      <c r="V3" t="str">
        <f>DEC2HEX(D6*2^0+D5*2^1+D4*2^2+D3*2^3+H6*2^4+H5*2^5+H4*2^6+H3*2^7,2)</f>
        <v>00</v>
      </c>
      <c r="W3" t="str">
        <f>DEC2HEX(E6*2^0+E5*2^1+E4*2^2+E3*2^3+I6*2^4+I5*2^5+I4*2^6+I3*2^7,2)</f>
        <v>00</v>
      </c>
      <c r="X3" t="str">
        <f>DEC2HEX(J6*2^0+J5*2^1+J4*2^2+J3*2^3+N6*2^4+N5*2^5+N4*2^6+N3*2^7,2)</f>
        <v>00</v>
      </c>
      <c r="Y3" t="str">
        <f>DEC2HEX(K6*2^0+K5*2^1+K4*2^2+K3*2^3+O6*2^4+O5*2^5+O4*2^6+O3*2^7,2)</f>
        <v>00</v>
      </c>
      <c r="Z3" t="str">
        <f>DEC2HEX(L6*2^0+L5*2^1+L4*2^2+L3*2^3+P6*2^4+P5*2^5+P4*2^6+P3*2^7,2)</f>
        <v>00</v>
      </c>
      <c r="AA3" t="str">
        <f>DEC2HEX(M6*2^0+M5*2^1+M4*2^2+M3*2^3+Q6*2^4+Q5*2^5+Q4*2^6+Q3*2^7,2)</f>
        <v>00</v>
      </c>
      <c r="AC3" t="s">
        <v>28</v>
      </c>
      <c r="AD3" t="s">
        <v>37</v>
      </c>
      <c r="AE3" t="s">
        <v>60</v>
      </c>
      <c r="AF3" t="s">
        <v>33</v>
      </c>
      <c r="AG3" t="s">
        <v>44</v>
      </c>
      <c r="AH3" t="s">
        <v>52</v>
      </c>
      <c r="AI3" t="s">
        <v>37</v>
      </c>
    </row>
    <row r="4" spans="1:35" x14ac:dyDescent="0.25">
      <c r="A4">
        <v>1</v>
      </c>
      <c r="B4" s="10">
        <v>0</v>
      </c>
      <c r="C4" s="10">
        <v>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R4">
        <v>0</v>
      </c>
      <c r="T4" t="str">
        <f>DEC2HEX(B10*2^0+B9*2^1+B8*2^2+B7*2^3+F10*2^4+F9*2^5+F8*2^6+F7*2^7,2)</f>
        <v>30</v>
      </c>
      <c r="U4" t="str">
        <f>DEC2HEX(C10*2^0+C9*2^1+C8*2^2+C7*2^3+G10*2^4+G9*2^5+G8*2^6+G7*2^7,2)</f>
        <v>33</v>
      </c>
      <c r="V4" t="str">
        <f>DEC2HEX(D10*2^0+D9*2^1+D8*2^2+D7*2^3+H10*2^4+H9*2^5+H8*2^6+H7*2^7,2)</f>
        <v>33</v>
      </c>
      <c r="W4" t="str">
        <f>DEC2HEX(E10*2^0+E9*2^1+E8*2^2+E7*2^3+I10*2^4+I9*2^5+I8*2^6+I7*2^7,2)</f>
        <v>33</v>
      </c>
      <c r="X4" t="str">
        <f>DEC2HEX(J10*2^0+J9*2^1+J8*2^2+J7*2^3+N10*2^4+N9*2^5+N8*2^6+N7*2^7,2)</f>
        <v>03</v>
      </c>
      <c r="Y4" t="str">
        <f>DEC2HEX(K10*2^0+K9*2^1+K8*2^2+K7*2^3+O10*2^4+O9*2^5+O8*2^6+O7*2^7,2)</f>
        <v>03</v>
      </c>
      <c r="Z4" t="str">
        <f>DEC2HEX(L10*2^0+L9*2^1+L8*2^2+L7*2^3+P10*2^4+P9*2^5+P8*2^6+P7*2^7,2)</f>
        <v>00</v>
      </c>
      <c r="AA4" t="str">
        <f>DEC2HEX(M10*2^0+M9*2^1+M8*2^2+M7*2^3+Q10*2^4+Q9*2^5+Q8*2^6+Q7*2^7,2)</f>
        <v>00</v>
      </c>
      <c r="AC4" t="s">
        <v>29</v>
      </c>
      <c r="AD4" t="s">
        <v>37</v>
      </c>
      <c r="AE4" t="s">
        <v>60</v>
      </c>
      <c r="AF4" t="s">
        <v>51</v>
      </c>
      <c r="AG4" t="s">
        <v>64</v>
      </c>
      <c r="AH4" t="s">
        <v>54</v>
      </c>
      <c r="AI4" t="s">
        <v>37</v>
      </c>
    </row>
    <row r="5" spans="1:35" x14ac:dyDescent="0.25">
      <c r="A5">
        <v>2</v>
      </c>
      <c r="B5" s="10">
        <v>0</v>
      </c>
      <c r="C5" s="10">
        <v>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R5">
        <v>0</v>
      </c>
      <c r="T5" t="str">
        <f>DEC2HEX(B14*2^0+B13*2^1+B12*2^2+B11*2^3+F14*2^4+F13*2^5+F12*2^6+F11*2^7,2)</f>
        <v>00</v>
      </c>
      <c r="U5" t="str">
        <f>DEC2HEX(C14*2^0+C13*2^1+C12*2^2+C11*2^3+G14*2^4+G13*2^5+G12*2^6+G11*2^7,2)</f>
        <v>10</v>
      </c>
      <c r="V5" t="str">
        <f>DEC2HEX(D14*2^0+D13*2^1+D12*2^2+D11*2^3+H14*2^4+H13*2^5+H12*2^6+H11*2^7,2)</f>
        <v>70</v>
      </c>
      <c r="W5" t="str">
        <f>DEC2HEX(E14*2^0+E13*2^1+E12*2^2+E11*2^3+I14*2^4+I13*2^5+I12*2^6+I11*2^7,2)</f>
        <v>E0</v>
      </c>
      <c r="X5" t="str">
        <f>DEC2HEX(J14*2^0+J13*2^1+J12*2^2+J11*2^3+N14*2^4+N13*2^5+N12*2^6+N11*2^7,2)</f>
        <v>0C</v>
      </c>
      <c r="Y5" t="str">
        <f>DEC2HEX(K14*2^0+K13*2^1+K12*2^2+K11*2^3+O14*2^4+O13*2^5+O12*2^6+O11*2^7,2)</f>
        <v>00</v>
      </c>
      <c r="Z5" t="str">
        <f>DEC2HEX(L14*2^0+L13*2^1+L12*2^2+L11*2^3+P14*2^4+P13*2^5+P12*2^6+P11*2^7,2)</f>
        <v>00</v>
      </c>
      <c r="AA5" t="str">
        <f>DEC2HEX(M14*2^0+M13*2^1+M12*2^2+M11*2^3+Q14*2^4+Q13*2^5+Q12*2^6+Q11*2^7,2)</f>
        <v>00</v>
      </c>
      <c r="AC5" t="s">
        <v>2</v>
      </c>
      <c r="AD5" t="s">
        <v>37</v>
      </c>
      <c r="AE5" t="s">
        <v>60</v>
      </c>
      <c r="AF5" t="s">
        <v>38</v>
      </c>
      <c r="AG5" t="s">
        <v>35</v>
      </c>
      <c r="AH5" t="s">
        <v>54</v>
      </c>
      <c r="AI5" t="s">
        <v>37</v>
      </c>
    </row>
    <row r="6" spans="1:35" x14ac:dyDescent="0.25">
      <c r="A6">
        <v>3</v>
      </c>
      <c r="B6" s="10">
        <v>0</v>
      </c>
      <c r="C6" s="10">
        <v>0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R6">
        <v>0</v>
      </c>
      <c r="T6" t="str">
        <f>DEC2HEX(B18*2^0+B17*2^1+B16*2^2+B15*2^3+F18*2^4+F17*2^5+F16*2^6+F15*2^7,2)</f>
        <v>F0</v>
      </c>
      <c r="U6" t="str">
        <f>DEC2HEX(C18*2^0+C17*2^1+C16*2^2+C15*2^3+G18*2^4+G17*2^5+G16*2^6+G15*2^7,2)</f>
        <v>C0</v>
      </c>
      <c r="V6" t="str">
        <f>DEC2HEX(D18*2^0+D17*2^1+D16*2^2+D15*2^3+H18*2^4+H17*2^5+H16*2^6+H15*2^7,2)</f>
        <v>81</v>
      </c>
      <c r="W6" t="str">
        <f>DEC2HEX(E18*2^0+E17*2^1+E16*2^2+E15*2^3+I18*2^4+I17*2^5+I16*2^6+I15*2^7,2)</f>
        <v>03</v>
      </c>
      <c r="X6" t="str">
        <f>DEC2HEX(J18*2^0+J17*2^1+J16*2^2+J15*2^3+N18*2^4+N17*2^5+N16*2^6+N15*2^7,2)</f>
        <v>00</v>
      </c>
      <c r="Y6" t="str">
        <f>DEC2HEX(K18*2^0+K17*2^1+K16*2^2+K15*2^3+O18*2^4+O17*2^5+O16*2^6+O15*2^7,2)</f>
        <v>00</v>
      </c>
      <c r="Z6" t="str">
        <f>DEC2HEX(L18*2^0+L17*2^1+L16*2^2+L15*2^3+P18*2^4+P17*2^5+P16*2^6+P15*2^7,2)</f>
        <v>00</v>
      </c>
      <c r="AA6" t="str">
        <f>DEC2HEX(M18*2^0+M17*2^1+M16*2^2+M15*2^3+Q18*2^4+Q17*2^5+Q16*2^6+Q15*2^7,2)</f>
        <v>00</v>
      </c>
      <c r="AC6" t="s">
        <v>30</v>
      </c>
      <c r="AD6" t="s">
        <v>37</v>
      </c>
      <c r="AE6" t="s">
        <v>35</v>
      </c>
      <c r="AF6" t="s">
        <v>48</v>
      </c>
      <c r="AG6" t="s">
        <v>37</v>
      </c>
      <c r="AH6" t="s">
        <v>47</v>
      </c>
      <c r="AI6" t="s">
        <v>37</v>
      </c>
    </row>
    <row r="7" spans="1:35" x14ac:dyDescent="0.25">
      <c r="A7">
        <v>4</v>
      </c>
      <c r="B7" s="10">
        <v>0</v>
      </c>
      <c r="C7" s="10">
        <v>0</v>
      </c>
      <c r="D7" s="10">
        <v>0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R7">
        <v>0</v>
      </c>
      <c r="T7" t="str">
        <f>DEC2HEX(B22*2^0+B21*2^1+B20*2^2+B19*2^3+F22*2^4+F21*2^5+F20*2^6+F19*2^7,2)</f>
        <v>60</v>
      </c>
      <c r="U7" t="str">
        <f>DEC2HEX(C22*2^0+C21*2^1+C20*2^2+C19*2^3+G22*2^4+G21*2^5+G20*2^6+G19*2^7,2)</f>
        <v>66</v>
      </c>
      <c r="V7" t="str">
        <f>DEC2HEX(D22*2^0+D21*2^1+D20*2^2+D19*2^3+H22*2^4+H21*2^5+H20*2^6+H19*2^7,2)</f>
        <v>6E</v>
      </c>
      <c r="W7" t="str">
        <f>DEC2HEX(E22*2^0+E21*2^1+E20*2^2+E19*2^3+I22*2^4+I21*2^5+I20*2^6+I19*2^7,2)</f>
        <v>6E</v>
      </c>
      <c r="X7" t="str">
        <f>DEC2HEX(J22*2^0+J21*2^1+J20*2^2+J19*2^3+N22*2^4+N21*2^5+N20*2^6+N19*2^7,2)</f>
        <v>06</v>
      </c>
      <c r="Y7" t="str">
        <f>DEC2HEX(K22*2^0+K21*2^1+K20*2^2+K19*2^3+O22*2^4+O21*2^5+O20*2^6+O19*2^7,2)</f>
        <v>06</v>
      </c>
      <c r="Z7" t="str">
        <f>DEC2HEX(L22*2^0+L21*2^1+L20*2^2+L19*2^3+P22*2^4+P21*2^5+P20*2^6+P19*2^7,2)</f>
        <v>00</v>
      </c>
      <c r="AA7" t="str">
        <f>DEC2HEX(M22*2^0+M21*2^1+M20*2^2+M19*2^3+Q22*2^4+Q21*2^5+Q20*2^6+Q19*2^7,2)</f>
        <v>00</v>
      </c>
      <c r="AC7" t="s">
        <v>31</v>
      </c>
      <c r="AD7" t="s">
        <v>37</v>
      </c>
      <c r="AE7" t="s">
        <v>35</v>
      </c>
      <c r="AF7" t="s">
        <v>37</v>
      </c>
      <c r="AG7" t="s">
        <v>37</v>
      </c>
      <c r="AH7" t="s">
        <v>47</v>
      </c>
      <c r="AI7" t="s">
        <v>37</v>
      </c>
    </row>
    <row r="8" spans="1:35" x14ac:dyDescent="0.25">
      <c r="A8">
        <v>5</v>
      </c>
      <c r="B8" s="10">
        <v>0</v>
      </c>
      <c r="C8" s="10">
        <v>0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R8">
        <v>0</v>
      </c>
      <c r="T8" t="str">
        <f>DEC2HEX(B26*2^0+B25*2^1+B24*2^2+B23*2^3+F26*2^4+F25*2^5+F24*2^6+F23*2^7,2)</f>
        <v>00</v>
      </c>
      <c r="U8" t="str">
        <f>DEC2HEX(C26*2^0+C25*2^1+C24*2^2+C23*2^3+G26*2^4+G25*2^5+G24*2^6+G23*2^7,2)</f>
        <v>00</v>
      </c>
      <c r="V8" t="str">
        <f>DEC2HEX(D26*2^0+D25*2^1+D24*2^2+D23*2^3+H26*2^4+H25*2^5+H24*2^6+H23*2^7,2)</f>
        <v>00</v>
      </c>
      <c r="W8" t="str">
        <f>DEC2HEX(E26*2^0+E25*2^1+E24*2^2+E23*2^3+I26*2^4+I25*2^5+I24*2^6+I23*2^7,2)</f>
        <v>00</v>
      </c>
      <c r="X8" t="str">
        <f>DEC2HEX(J26*2^0+J25*2^1+J24*2^2+J23*2^3+N26*2^4+N25*2^5+N24*2^6+N23*2^7,2)</f>
        <v>00</v>
      </c>
      <c r="Y8" t="str">
        <f>DEC2HEX(K26*2^0+K25*2^1+K24*2^2+K23*2^3+O26*2^4+O25*2^5+O24*2^6+O23*2^7,2)</f>
        <v>00</v>
      </c>
      <c r="Z8" t="str">
        <f>DEC2HEX(L26*2^0+L25*2^1+L24*2^2+L23*2^3+P26*2^4+P25*2^5+P24*2^6+P23*2^7,2)</f>
        <v>00</v>
      </c>
      <c r="AA8" t="str">
        <f>DEC2HEX(M26*2^0+M25*2^1+M24*2^2+M23*2^3+Q26*2^4+Q25*2^5+Q24*2^6+Q23*2^7,2)</f>
        <v>00</v>
      </c>
      <c r="AC8" t="s">
        <v>32</v>
      </c>
      <c r="AD8" t="s">
        <v>37</v>
      </c>
      <c r="AE8" t="s">
        <v>37</v>
      </c>
      <c r="AF8" t="s">
        <v>37</v>
      </c>
      <c r="AG8" t="s">
        <v>37</v>
      </c>
      <c r="AH8" t="s">
        <v>37</v>
      </c>
      <c r="AI8" t="s">
        <v>37</v>
      </c>
    </row>
    <row r="9" spans="1:35" x14ac:dyDescent="0.25">
      <c r="A9">
        <v>6</v>
      </c>
      <c r="B9" s="10">
        <v>0</v>
      </c>
      <c r="C9" s="10">
        <v>1</v>
      </c>
      <c r="D9" s="10">
        <v>1</v>
      </c>
      <c r="E9" s="10">
        <v>1</v>
      </c>
      <c r="F9" s="10">
        <v>1</v>
      </c>
      <c r="G9" s="10">
        <v>1</v>
      </c>
      <c r="H9" s="10">
        <v>1</v>
      </c>
      <c r="I9" s="10">
        <v>1</v>
      </c>
      <c r="J9" s="10">
        <v>1</v>
      </c>
      <c r="K9" s="10">
        <v>1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R9">
        <v>0</v>
      </c>
      <c r="AC9" t="s">
        <v>1</v>
      </c>
      <c r="AD9" t="s">
        <v>37</v>
      </c>
      <c r="AE9" t="s">
        <v>37</v>
      </c>
      <c r="AF9" t="s">
        <v>37</v>
      </c>
      <c r="AG9" t="s">
        <v>37</v>
      </c>
      <c r="AH9" t="s">
        <v>37</v>
      </c>
      <c r="AI9" t="s">
        <v>37</v>
      </c>
    </row>
    <row r="10" spans="1:35" x14ac:dyDescent="0.25">
      <c r="A10">
        <v>7</v>
      </c>
      <c r="B10" s="10">
        <v>0</v>
      </c>
      <c r="C10" s="10">
        <v>1</v>
      </c>
      <c r="D10" s="10">
        <v>1</v>
      </c>
      <c r="E10" s="10">
        <v>1</v>
      </c>
      <c r="F10" s="10">
        <v>1</v>
      </c>
      <c r="G10" s="10">
        <v>1</v>
      </c>
      <c r="H10" s="10">
        <v>1</v>
      </c>
      <c r="I10" s="10">
        <v>1</v>
      </c>
      <c r="J10" s="10">
        <v>1</v>
      </c>
      <c r="K10" s="10">
        <v>1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R10">
        <v>0</v>
      </c>
    </row>
    <row r="11" spans="1:35" x14ac:dyDescent="0.25">
      <c r="A11">
        <v>8</v>
      </c>
      <c r="B11" s="10">
        <v>0</v>
      </c>
      <c r="C11" s="10">
        <v>0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1</v>
      </c>
      <c r="J11" s="10">
        <v>1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R11">
        <v>0</v>
      </c>
    </row>
    <row r="12" spans="1:35" x14ac:dyDescent="0.25">
      <c r="A12">
        <v>9</v>
      </c>
      <c r="B12" s="10">
        <v>0</v>
      </c>
      <c r="C12" s="10">
        <v>0</v>
      </c>
      <c r="D12" s="10">
        <v>0</v>
      </c>
      <c r="E12" s="10">
        <v>0</v>
      </c>
      <c r="F12" s="10">
        <v>0</v>
      </c>
      <c r="G12" s="10">
        <v>0</v>
      </c>
      <c r="H12" s="10">
        <v>1</v>
      </c>
      <c r="I12" s="10">
        <v>1</v>
      </c>
      <c r="J12" s="10">
        <v>1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R12">
        <v>0</v>
      </c>
    </row>
    <row r="13" spans="1:35" x14ac:dyDescent="0.25">
      <c r="A13">
        <v>10</v>
      </c>
      <c r="B13" s="10">
        <v>0</v>
      </c>
      <c r="C13" s="10">
        <v>0</v>
      </c>
      <c r="D13" s="10">
        <v>0</v>
      </c>
      <c r="E13" s="10">
        <v>0</v>
      </c>
      <c r="F13" s="10">
        <v>0</v>
      </c>
      <c r="G13" s="10">
        <v>0</v>
      </c>
      <c r="H13" s="10">
        <v>1</v>
      </c>
      <c r="I13" s="10">
        <v>1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R13">
        <v>0</v>
      </c>
      <c r="T13" t="s">
        <v>27</v>
      </c>
      <c r="U13" t="s">
        <v>28</v>
      </c>
      <c r="V13" t="s">
        <v>29</v>
      </c>
      <c r="W13" t="s">
        <v>2</v>
      </c>
      <c r="X13" t="s">
        <v>30</v>
      </c>
      <c r="Y13" t="s">
        <v>31</v>
      </c>
      <c r="Z13" t="s">
        <v>32</v>
      </c>
      <c r="AA13" t="s">
        <v>1</v>
      </c>
      <c r="AC13" t="str">
        <f t="shared" ref="AC13:AC20" si="0">_xlfn.CONCAT("const uint8_t ",$AB$1,"_",AC2,"[6]={",AD2,",",AE2,",",AF2,",",AG2,",",AH2,",",AI2,"};")</f>
        <v>const uint8_t z_D2[6]={0x00,0x30,0x00,0xF0,0x60,0x00};</v>
      </c>
    </row>
    <row r="14" spans="1:35" x14ac:dyDescent="0.25">
      <c r="A14">
        <v>11</v>
      </c>
      <c r="B14" s="10">
        <v>0</v>
      </c>
      <c r="C14" s="10">
        <v>0</v>
      </c>
      <c r="D14" s="10">
        <v>0</v>
      </c>
      <c r="E14" s="10">
        <v>0</v>
      </c>
      <c r="F14" s="10">
        <v>0</v>
      </c>
      <c r="G14" s="10">
        <v>1</v>
      </c>
      <c r="H14" s="10">
        <v>1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R14">
        <v>0</v>
      </c>
      <c r="T14" t="str">
        <f t="shared" ref="T14:AA19" si="1">_xlfn.CONCAT("0x",T3)</f>
        <v>0x00</v>
      </c>
      <c r="U14" t="str">
        <f t="shared" si="1"/>
        <v>0x00</v>
      </c>
      <c r="V14" t="str">
        <f t="shared" si="1"/>
        <v>0x00</v>
      </c>
      <c r="W14" t="str">
        <f t="shared" si="1"/>
        <v>0x00</v>
      </c>
      <c r="X14" t="str">
        <f t="shared" si="1"/>
        <v>0x00</v>
      </c>
      <c r="Y14" t="str">
        <f t="shared" si="1"/>
        <v>0x00</v>
      </c>
      <c r="Z14" t="str">
        <f t="shared" si="1"/>
        <v>0x00</v>
      </c>
      <c r="AA14" t="str">
        <f t="shared" si="1"/>
        <v>0x00</v>
      </c>
      <c r="AC14" t="str">
        <f t="shared" si="0"/>
        <v>const uint8_t z_C2[6]={0x00,0x33,0x10,0xC0,0x66,0x00};</v>
      </c>
    </row>
    <row r="15" spans="1:35" x14ac:dyDescent="0.25">
      <c r="A15">
        <v>12</v>
      </c>
      <c r="B15" s="10">
        <v>0</v>
      </c>
      <c r="C15" s="10">
        <v>0</v>
      </c>
      <c r="D15" s="10">
        <v>0</v>
      </c>
      <c r="E15" s="10">
        <v>0</v>
      </c>
      <c r="F15" s="10">
        <v>1</v>
      </c>
      <c r="G15" s="10">
        <v>1</v>
      </c>
      <c r="H15" s="10">
        <v>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R15">
        <v>0</v>
      </c>
      <c r="T15" t="str">
        <f t="shared" si="1"/>
        <v>0x30</v>
      </c>
      <c r="U15" t="str">
        <f t="shared" si="1"/>
        <v>0x33</v>
      </c>
      <c r="V15" t="str">
        <f t="shared" si="1"/>
        <v>0x33</v>
      </c>
      <c r="W15" t="str">
        <f t="shared" si="1"/>
        <v>0x33</v>
      </c>
      <c r="X15" t="str">
        <f t="shared" si="1"/>
        <v>0x03</v>
      </c>
      <c r="Y15" t="str">
        <f t="shared" si="1"/>
        <v>0x03</v>
      </c>
      <c r="Z15" t="str">
        <f t="shared" si="1"/>
        <v>0x00</v>
      </c>
      <c r="AA15" t="str">
        <f t="shared" si="1"/>
        <v>0x00</v>
      </c>
      <c r="AC15" t="str">
        <f t="shared" si="0"/>
        <v>const uint8_t z_B2[6]={0x00,0x33,0x70,0x81,0x6E,0x00};</v>
      </c>
    </row>
    <row r="16" spans="1:35" x14ac:dyDescent="0.25">
      <c r="A16">
        <v>13</v>
      </c>
      <c r="B16" s="10">
        <v>0</v>
      </c>
      <c r="C16" s="10">
        <v>0</v>
      </c>
      <c r="D16" s="10">
        <v>0</v>
      </c>
      <c r="E16" s="10">
        <v>0</v>
      </c>
      <c r="F16" s="10">
        <v>1</v>
      </c>
      <c r="G16" s="10">
        <v>1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R16">
        <v>0</v>
      </c>
      <c r="T16" t="str">
        <f t="shared" si="1"/>
        <v>0x00</v>
      </c>
      <c r="U16" t="str">
        <f t="shared" si="1"/>
        <v>0x10</v>
      </c>
      <c r="V16" t="str">
        <f t="shared" si="1"/>
        <v>0x70</v>
      </c>
      <c r="W16" t="str">
        <f t="shared" si="1"/>
        <v>0xE0</v>
      </c>
      <c r="X16" t="str">
        <f t="shared" si="1"/>
        <v>0x0C</v>
      </c>
      <c r="Y16" t="str">
        <f t="shared" si="1"/>
        <v>0x00</v>
      </c>
      <c r="Z16" t="str">
        <f t="shared" si="1"/>
        <v>0x00</v>
      </c>
      <c r="AA16" t="str">
        <f t="shared" si="1"/>
        <v>0x00</v>
      </c>
      <c r="AC16" t="str">
        <f t="shared" si="0"/>
        <v>const uint8_t z_A2[6]={0x00,0x33,0xE0,0x03,0x6E,0x00};</v>
      </c>
    </row>
    <row r="17" spans="1:29" x14ac:dyDescent="0.25">
      <c r="A17">
        <v>14</v>
      </c>
      <c r="B17" s="10">
        <v>0</v>
      </c>
      <c r="C17" s="10">
        <v>0</v>
      </c>
      <c r="D17" s="10">
        <v>0</v>
      </c>
      <c r="E17" s="10">
        <v>1</v>
      </c>
      <c r="F17" s="10">
        <v>1</v>
      </c>
      <c r="G17" s="10">
        <v>0</v>
      </c>
      <c r="H17" s="10">
        <v>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R17">
        <v>0</v>
      </c>
      <c r="T17" t="str">
        <f t="shared" si="1"/>
        <v>0xF0</v>
      </c>
      <c r="U17" t="str">
        <f t="shared" si="1"/>
        <v>0xC0</v>
      </c>
      <c r="V17" t="str">
        <f t="shared" si="1"/>
        <v>0x81</v>
      </c>
      <c r="W17" t="str">
        <f t="shared" si="1"/>
        <v>0x03</v>
      </c>
      <c r="X17" t="str">
        <f t="shared" si="1"/>
        <v>0x00</v>
      </c>
      <c r="Y17" t="str">
        <f t="shared" si="1"/>
        <v>0x00</v>
      </c>
      <c r="Z17" t="str">
        <f t="shared" si="1"/>
        <v>0x00</v>
      </c>
      <c r="AA17" t="str">
        <f t="shared" si="1"/>
        <v>0x00</v>
      </c>
      <c r="AC17" t="str">
        <f t="shared" si="0"/>
        <v>const uint8_t z_D1[6]={0x00,0x03,0x0C,0x00,0x06,0x00};</v>
      </c>
    </row>
    <row r="18" spans="1:29" x14ac:dyDescent="0.25">
      <c r="A18">
        <v>15</v>
      </c>
      <c r="B18" s="10">
        <v>0</v>
      </c>
      <c r="C18" s="10">
        <v>0</v>
      </c>
      <c r="D18" s="10">
        <v>1</v>
      </c>
      <c r="E18" s="10">
        <v>1</v>
      </c>
      <c r="F18" s="10">
        <v>1</v>
      </c>
      <c r="G18" s="10">
        <v>0</v>
      </c>
      <c r="H18" s="10">
        <v>0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R18">
        <v>0</v>
      </c>
      <c r="T18" t="str">
        <f t="shared" si="1"/>
        <v>0x60</v>
      </c>
      <c r="U18" t="str">
        <f t="shared" si="1"/>
        <v>0x66</v>
      </c>
      <c r="V18" t="str">
        <f t="shared" si="1"/>
        <v>0x6E</v>
      </c>
      <c r="W18" t="str">
        <f t="shared" si="1"/>
        <v>0x6E</v>
      </c>
      <c r="X18" t="str">
        <f t="shared" si="1"/>
        <v>0x06</v>
      </c>
      <c r="Y18" t="str">
        <f t="shared" si="1"/>
        <v>0x06</v>
      </c>
      <c r="Z18" t="str">
        <f t="shared" si="1"/>
        <v>0x00</v>
      </c>
      <c r="AA18" t="str">
        <f t="shared" si="1"/>
        <v>0x00</v>
      </c>
      <c r="AC18" t="str">
        <f t="shared" si="0"/>
        <v>const uint8_t z_C1[6]={0x00,0x03,0x00,0x00,0x06,0x00};</v>
      </c>
    </row>
    <row r="19" spans="1:29" x14ac:dyDescent="0.25">
      <c r="A19">
        <v>16</v>
      </c>
      <c r="B19" s="10">
        <v>0</v>
      </c>
      <c r="C19" s="10">
        <v>0</v>
      </c>
      <c r="D19" s="10">
        <v>1</v>
      </c>
      <c r="E19" s="10">
        <v>1</v>
      </c>
      <c r="F19" s="10">
        <v>0</v>
      </c>
      <c r="G19" s="10">
        <v>0</v>
      </c>
      <c r="H19" s="10">
        <v>0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R19">
        <v>0</v>
      </c>
      <c r="T19" t="str">
        <f t="shared" si="1"/>
        <v>0x00</v>
      </c>
      <c r="U19" t="str">
        <f t="shared" si="1"/>
        <v>0x00</v>
      </c>
      <c r="V19" t="str">
        <f t="shared" si="1"/>
        <v>0x00</v>
      </c>
      <c r="W19" t="str">
        <f t="shared" si="1"/>
        <v>0x00</v>
      </c>
      <c r="X19" t="str">
        <f t="shared" si="1"/>
        <v>0x00</v>
      </c>
      <c r="Y19" t="str">
        <f t="shared" si="1"/>
        <v>0x00</v>
      </c>
      <c r="Z19" t="str">
        <f t="shared" si="1"/>
        <v>0x00</v>
      </c>
      <c r="AA19" t="str">
        <f t="shared" si="1"/>
        <v>0x00</v>
      </c>
      <c r="AC19" t="str">
        <f t="shared" si="0"/>
        <v>const uint8_t z_B1[6]={0x00,0x00,0x00,0x00,0x00,0x00};</v>
      </c>
    </row>
    <row r="20" spans="1:29" x14ac:dyDescent="0.25">
      <c r="A20">
        <v>17</v>
      </c>
      <c r="B20" s="10">
        <v>0</v>
      </c>
      <c r="C20" s="10">
        <v>1</v>
      </c>
      <c r="D20" s="10">
        <v>1</v>
      </c>
      <c r="E20" s="10">
        <v>1</v>
      </c>
      <c r="F20" s="10">
        <v>1</v>
      </c>
      <c r="G20" s="10">
        <v>1</v>
      </c>
      <c r="H20" s="10">
        <v>1</v>
      </c>
      <c r="I20" s="10">
        <v>1</v>
      </c>
      <c r="J20" s="10">
        <v>1</v>
      </c>
      <c r="K20" s="10">
        <v>1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R20">
        <v>0</v>
      </c>
      <c r="AC20" t="str">
        <f t="shared" si="0"/>
        <v>const uint8_t z_A1[6]={0x00,0x00,0x00,0x00,0x00,0x00};</v>
      </c>
    </row>
    <row r="21" spans="1:29" x14ac:dyDescent="0.25">
      <c r="A21">
        <v>18</v>
      </c>
      <c r="B21" s="10">
        <v>0</v>
      </c>
      <c r="C21" s="10">
        <v>1</v>
      </c>
      <c r="D21" s="10">
        <v>1</v>
      </c>
      <c r="E21" s="10">
        <v>1</v>
      </c>
      <c r="F21" s="10">
        <v>1</v>
      </c>
      <c r="G21" s="10">
        <v>1</v>
      </c>
      <c r="H21" s="10">
        <v>1</v>
      </c>
      <c r="I21" s="10">
        <v>1</v>
      </c>
      <c r="J21" s="10">
        <v>1</v>
      </c>
      <c r="K21" s="10">
        <v>1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R21">
        <v>0</v>
      </c>
    </row>
    <row r="22" spans="1:29" x14ac:dyDescent="0.25">
      <c r="A22">
        <v>19</v>
      </c>
      <c r="B22" s="10">
        <v>0</v>
      </c>
      <c r="C22" s="10">
        <v>0</v>
      </c>
      <c r="D22" s="10">
        <v>0</v>
      </c>
      <c r="E22" s="10">
        <v>0</v>
      </c>
      <c r="F22" s="10">
        <v>0</v>
      </c>
      <c r="G22" s="10">
        <v>0</v>
      </c>
      <c r="H22" s="10">
        <v>0</v>
      </c>
      <c r="I22" s="10">
        <v>0</v>
      </c>
      <c r="J22" s="10">
        <v>0</v>
      </c>
      <c r="K22" s="10">
        <v>0</v>
      </c>
      <c r="L22" s="10">
        <v>0</v>
      </c>
      <c r="M22" s="10">
        <v>0</v>
      </c>
      <c r="N22" s="10">
        <v>0</v>
      </c>
      <c r="O22" s="10">
        <v>0</v>
      </c>
      <c r="P22" s="10">
        <v>0</v>
      </c>
      <c r="Q22" s="10">
        <v>0</v>
      </c>
      <c r="R22">
        <v>0</v>
      </c>
    </row>
    <row r="23" spans="1:29" x14ac:dyDescent="0.25">
      <c r="A23">
        <v>20</v>
      </c>
      <c r="B23" s="10">
        <v>0</v>
      </c>
      <c r="C23" s="10">
        <v>0</v>
      </c>
      <c r="D23" s="10">
        <v>0</v>
      </c>
      <c r="E23" s="10">
        <v>0</v>
      </c>
      <c r="F23" s="10">
        <v>0</v>
      </c>
      <c r="G23" s="10">
        <v>0</v>
      </c>
      <c r="H23" s="10">
        <v>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R23">
        <v>0</v>
      </c>
    </row>
    <row r="24" spans="1:29" x14ac:dyDescent="0.25">
      <c r="A24">
        <v>21</v>
      </c>
      <c r="B24" s="10">
        <v>0</v>
      </c>
      <c r="C24" s="10">
        <v>0</v>
      </c>
      <c r="D24" s="10">
        <v>0</v>
      </c>
      <c r="E24" s="10">
        <v>0</v>
      </c>
      <c r="F24" s="10">
        <v>0</v>
      </c>
      <c r="G24" s="10">
        <v>0</v>
      </c>
      <c r="H24" s="10">
        <v>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R24">
        <v>0</v>
      </c>
    </row>
    <row r="25" spans="1:29" x14ac:dyDescent="0.25">
      <c r="A25">
        <v>22</v>
      </c>
      <c r="B25" s="10">
        <v>0</v>
      </c>
      <c r="C25" s="10">
        <v>0</v>
      </c>
      <c r="D25" s="10">
        <v>0</v>
      </c>
      <c r="E25" s="10">
        <v>0</v>
      </c>
      <c r="F25" s="10">
        <v>0</v>
      </c>
      <c r="G25" s="10">
        <v>0</v>
      </c>
      <c r="H25" s="10">
        <v>0</v>
      </c>
      <c r="I25" s="10">
        <v>0</v>
      </c>
      <c r="J25" s="10">
        <v>0</v>
      </c>
      <c r="K25" s="10">
        <v>0</v>
      </c>
      <c r="L25" s="10">
        <v>0</v>
      </c>
      <c r="M25" s="10">
        <v>0</v>
      </c>
      <c r="N25" s="10">
        <v>0</v>
      </c>
      <c r="O25" s="10">
        <v>0</v>
      </c>
      <c r="P25" s="10">
        <v>0</v>
      </c>
      <c r="Q25" s="10">
        <v>0</v>
      </c>
      <c r="R25">
        <v>0</v>
      </c>
    </row>
    <row r="26" spans="1:29" x14ac:dyDescent="0.25">
      <c r="A26">
        <v>23</v>
      </c>
      <c r="B26" s="10">
        <v>0</v>
      </c>
      <c r="C26" s="10">
        <v>0</v>
      </c>
      <c r="D26" s="10">
        <v>0</v>
      </c>
      <c r="E26" s="10">
        <v>0</v>
      </c>
      <c r="F26" s="10">
        <v>0</v>
      </c>
      <c r="G26" s="10">
        <v>0</v>
      </c>
      <c r="H26" s="10">
        <v>0</v>
      </c>
      <c r="I26" s="10">
        <v>0</v>
      </c>
      <c r="J26" s="10">
        <v>0</v>
      </c>
      <c r="K26" s="10">
        <v>0</v>
      </c>
      <c r="L26" s="10">
        <v>0</v>
      </c>
      <c r="M26" s="10">
        <v>0</v>
      </c>
      <c r="N26" s="10">
        <v>0</v>
      </c>
      <c r="O26" s="10">
        <v>0</v>
      </c>
      <c r="P26" s="10">
        <v>0</v>
      </c>
      <c r="Q26" s="10">
        <v>0</v>
      </c>
      <c r="R26">
        <v>0</v>
      </c>
    </row>
    <row r="27" spans="1:29" x14ac:dyDescent="0.25">
      <c r="A27">
        <v>24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</row>
    <row r="28" spans="1:29" x14ac:dyDescent="0.25">
      <c r="A28">
        <v>25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</row>
    <row r="29" spans="1:29" x14ac:dyDescent="0.25">
      <c r="A29">
        <v>26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</row>
    <row r="30" spans="1:29" x14ac:dyDescent="0.25">
      <c r="A30">
        <v>27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</row>
  </sheetData>
  <conditionalFormatting sqref="B3:Q30">
    <cfRule type="cellIs" dxfId="5" priority="1" operator="equal">
      <formula>2</formula>
    </cfRule>
    <cfRule type="cellIs" dxfId="4" priority="2" operator="equal">
      <formula>1</formula>
    </cfRule>
    <cfRule type="cellIs" dxfId="3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C1540-175C-407F-8217-0361F0995A98}">
  <sheetPr codeName="Planilha3"/>
  <dimension ref="A1:S97"/>
  <sheetViews>
    <sheetView workbookViewId="0">
      <selection activeCell="I8" sqref="I8"/>
    </sheetView>
  </sheetViews>
  <sheetFormatPr defaultRowHeight="15" x14ac:dyDescent="0.25"/>
  <sheetData>
    <row r="1" spans="1:19" x14ac:dyDescent="0.25">
      <c r="B1" t="s">
        <v>3</v>
      </c>
      <c r="C1" t="s">
        <v>4</v>
      </c>
      <c r="D1" t="s">
        <v>8</v>
      </c>
      <c r="E1" t="s">
        <v>9</v>
      </c>
      <c r="F1" t="s">
        <v>10</v>
      </c>
      <c r="G1" t="s">
        <v>11</v>
      </c>
      <c r="H1" t="s">
        <v>5</v>
      </c>
      <c r="I1" t="s">
        <v>6</v>
      </c>
      <c r="J1" t="s">
        <v>12</v>
      </c>
      <c r="K1" t="s">
        <v>13</v>
      </c>
      <c r="L1" t="s">
        <v>14</v>
      </c>
      <c r="M1" t="s">
        <v>15</v>
      </c>
      <c r="N1" t="s">
        <v>7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</row>
    <row r="2" spans="1:19" x14ac:dyDescent="0.25">
      <c r="A2">
        <v>0</v>
      </c>
      <c r="B2" t="s">
        <v>0</v>
      </c>
      <c r="C2" t="s">
        <v>0</v>
      </c>
      <c r="D2" t="s">
        <v>0</v>
      </c>
      <c r="E2" t="s">
        <v>0</v>
      </c>
      <c r="F2" t="s">
        <v>0</v>
      </c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</row>
    <row r="3" spans="1:19" x14ac:dyDescent="0.25">
      <c r="A3">
        <v>1</v>
      </c>
      <c r="B3" t="s">
        <v>0</v>
      </c>
      <c r="C3" t="s">
        <v>0</v>
      </c>
      <c r="D3" t="s">
        <v>0</v>
      </c>
      <c r="E3" t="s">
        <v>0</v>
      </c>
      <c r="F3" t="s">
        <v>0</v>
      </c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</row>
    <row r="4" spans="1:19" x14ac:dyDescent="0.25">
      <c r="A4">
        <v>2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</row>
    <row r="5" spans="1:19" x14ac:dyDescent="0.25">
      <c r="A5">
        <v>3</v>
      </c>
      <c r="B5" t="s">
        <v>0</v>
      </c>
      <c r="C5" t="s">
        <v>0</v>
      </c>
      <c r="D5" t="s">
        <v>0</v>
      </c>
      <c r="E5" t="s">
        <v>0</v>
      </c>
      <c r="F5" t="s">
        <v>0</v>
      </c>
      <c r="G5" t="s">
        <v>0</v>
      </c>
      <c r="H5" t="s">
        <v>0</v>
      </c>
      <c r="I5" t="s">
        <v>0</v>
      </c>
      <c r="J5" t="s">
        <v>0</v>
      </c>
      <c r="K5" t="s">
        <v>0</v>
      </c>
      <c r="L5" t="s">
        <v>0</v>
      </c>
      <c r="M5" t="s">
        <v>0</v>
      </c>
      <c r="N5" t="s">
        <v>0</v>
      </c>
      <c r="O5" t="s">
        <v>0</v>
      </c>
      <c r="P5" t="s">
        <v>0</v>
      </c>
      <c r="Q5" t="s">
        <v>0</v>
      </c>
      <c r="R5" t="s">
        <v>0</v>
      </c>
      <c r="S5" t="s">
        <v>0</v>
      </c>
    </row>
    <row r="6" spans="1:19" x14ac:dyDescent="0.25">
      <c r="A6">
        <v>4</v>
      </c>
      <c r="B6" t="s">
        <v>0</v>
      </c>
      <c r="C6" t="s">
        <v>0</v>
      </c>
      <c r="D6" t="s">
        <v>0</v>
      </c>
      <c r="E6" t="s">
        <v>0</v>
      </c>
      <c r="F6" t="s">
        <v>0</v>
      </c>
      <c r="G6" t="s">
        <v>0</v>
      </c>
      <c r="H6" t="s">
        <v>0</v>
      </c>
      <c r="I6" t="s">
        <v>0</v>
      </c>
      <c r="J6" t="s">
        <v>0</v>
      </c>
      <c r="K6" t="s">
        <v>0</v>
      </c>
      <c r="L6" t="s">
        <v>0</v>
      </c>
      <c r="M6" t="s">
        <v>0</v>
      </c>
      <c r="N6" t="s">
        <v>0</v>
      </c>
      <c r="O6" t="s">
        <v>0</v>
      </c>
      <c r="P6" t="s">
        <v>0</v>
      </c>
      <c r="Q6" t="s">
        <v>0</v>
      </c>
      <c r="R6" t="s">
        <v>0</v>
      </c>
      <c r="S6" t="s">
        <v>0</v>
      </c>
    </row>
    <row r="7" spans="1:19" x14ac:dyDescent="0.25">
      <c r="A7">
        <v>5</v>
      </c>
      <c r="B7" t="s">
        <v>0</v>
      </c>
      <c r="C7" t="s">
        <v>0</v>
      </c>
      <c r="D7" t="s">
        <v>0</v>
      </c>
      <c r="E7" t="s">
        <v>0</v>
      </c>
      <c r="F7" t="s">
        <v>0</v>
      </c>
      <c r="G7" t="s">
        <v>0</v>
      </c>
      <c r="H7" t="s">
        <v>0</v>
      </c>
      <c r="I7" t="s">
        <v>0</v>
      </c>
      <c r="J7" t="s">
        <v>0</v>
      </c>
      <c r="K7" t="s">
        <v>0</v>
      </c>
      <c r="L7" t="s">
        <v>0</v>
      </c>
      <c r="M7" t="s">
        <v>0</v>
      </c>
      <c r="N7" t="s">
        <v>0</v>
      </c>
      <c r="O7" t="s">
        <v>0</v>
      </c>
      <c r="P7" t="s">
        <v>0</v>
      </c>
      <c r="Q7" t="s">
        <v>0</v>
      </c>
      <c r="R7" t="s">
        <v>0</v>
      </c>
      <c r="S7" t="s">
        <v>0</v>
      </c>
    </row>
    <row r="8" spans="1:19" x14ac:dyDescent="0.25">
      <c r="A8">
        <v>6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</row>
    <row r="9" spans="1:19" x14ac:dyDescent="0.25">
      <c r="A9">
        <v>7</v>
      </c>
      <c r="B9" t="s">
        <v>0</v>
      </c>
      <c r="C9" t="s">
        <v>0</v>
      </c>
      <c r="D9" t="s">
        <v>0</v>
      </c>
      <c r="E9" t="s">
        <v>0</v>
      </c>
      <c r="F9" t="s">
        <v>0</v>
      </c>
      <c r="G9" t="s">
        <v>0</v>
      </c>
      <c r="H9" t="s">
        <v>0</v>
      </c>
      <c r="I9" t="s">
        <v>0</v>
      </c>
      <c r="J9" t="s">
        <v>0</v>
      </c>
      <c r="K9" t="s">
        <v>0</v>
      </c>
      <c r="L9" t="s">
        <v>0</v>
      </c>
      <c r="M9" t="s">
        <v>0</v>
      </c>
      <c r="N9" t="s">
        <v>0</v>
      </c>
      <c r="O9" t="s">
        <v>0</v>
      </c>
      <c r="P9" t="s">
        <v>0</v>
      </c>
      <c r="Q9" t="s">
        <v>0</v>
      </c>
      <c r="R9" t="s">
        <v>0</v>
      </c>
      <c r="S9" t="s">
        <v>0</v>
      </c>
    </row>
    <row r="10" spans="1:19" x14ac:dyDescent="0.25">
      <c r="A10">
        <v>8</v>
      </c>
      <c r="B10" t="s">
        <v>0</v>
      </c>
      <c r="C10" t="s">
        <v>0</v>
      </c>
      <c r="D10" t="s">
        <v>0</v>
      </c>
      <c r="E10" t="s">
        <v>0</v>
      </c>
      <c r="F10" t="s">
        <v>0</v>
      </c>
      <c r="G10" t="s">
        <v>0</v>
      </c>
      <c r="H10" t="s">
        <v>0</v>
      </c>
      <c r="I10" t="s">
        <v>0</v>
      </c>
      <c r="J10" t="s">
        <v>0</v>
      </c>
      <c r="K10" t="s">
        <v>0</v>
      </c>
      <c r="L10" t="s">
        <v>0</v>
      </c>
      <c r="M10" t="s">
        <v>0</v>
      </c>
      <c r="N10" t="s">
        <v>0</v>
      </c>
      <c r="O10" t="s">
        <v>0</v>
      </c>
      <c r="P10" t="s">
        <v>0</v>
      </c>
      <c r="Q10" t="s">
        <v>0</v>
      </c>
      <c r="R10" t="s">
        <v>0</v>
      </c>
      <c r="S10" t="s">
        <v>0</v>
      </c>
    </row>
    <row r="11" spans="1:19" x14ac:dyDescent="0.25">
      <c r="A11">
        <v>9</v>
      </c>
      <c r="B11" t="s">
        <v>0</v>
      </c>
      <c r="C11" t="s">
        <v>0</v>
      </c>
      <c r="D11" t="s">
        <v>0</v>
      </c>
      <c r="E11" t="s">
        <v>0</v>
      </c>
      <c r="F11" t="s">
        <v>0</v>
      </c>
      <c r="G11" t="s">
        <v>0</v>
      </c>
      <c r="H11" t="s">
        <v>0</v>
      </c>
      <c r="I11" t="s">
        <v>0</v>
      </c>
      <c r="J11" t="s">
        <v>0</v>
      </c>
      <c r="K11" t="s">
        <v>0</v>
      </c>
      <c r="L11" t="s">
        <v>0</v>
      </c>
      <c r="M11" t="s">
        <v>0</v>
      </c>
      <c r="N11" t="s">
        <v>0</v>
      </c>
      <c r="O11" t="s">
        <v>0</v>
      </c>
      <c r="P11" t="s">
        <v>0</v>
      </c>
      <c r="Q11" t="s">
        <v>0</v>
      </c>
      <c r="R11" t="s">
        <v>0</v>
      </c>
      <c r="S11" t="s">
        <v>0</v>
      </c>
    </row>
    <row r="12" spans="1:19" x14ac:dyDescent="0.25">
      <c r="A12">
        <v>10</v>
      </c>
      <c r="B12" t="s">
        <v>0</v>
      </c>
      <c r="C12" t="s">
        <v>0</v>
      </c>
      <c r="D12" t="s">
        <v>0</v>
      </c>
      <c r="E12" t="s">
        <v>0</v>
      </c>
      <c r="F12" t="s">
        <v>0</v>
      </c>
      <c r="G12" t="s">
        <v>0</v>
      </c>
      <c r="H12" t="s">
        <v>0</v>
      </c>
      <c r="I12" t="s">
        <v>0</v>
      </c>
      <c r="J12" t="s">
        <v>0</v>
      </c>
      <c r="K12" t="s">
        <v>0</v>
      </c>
      <c r="L12" t="s">
        <v>0</v>
      </c>
      <c r="M12" t="s">
        <v>0</v>
      </c>
      <c r="N12" t="s">
        <v>0</v>
      </c>
      <c r="O12" t="s">
        <v>0</v>
      </c>
      <c r="P12" t="s">
        <v>0</v>
      </c>
      <c r="Q12" t="s">
        <v>0</v>
      </c>
      <c r="R12" t="s">
        <v>0</v>
      </c>
      <c r="S12" t="s">
        <v>0</v>
      </c>
    </row>
    <row r="13" spans="1:19" x14ac:dyDescent="0.25">
      <c r="A13">
        <v>11</v>
      </c>
      <c r="B13" t="s">
        <v>0</v>
      </c>
      <c r="C13" t="s">
        <v>0</v>
      </c>
      <c r="D13" t="s">
        <v>0</v>
      </c>
      <c r="E13" t="s">
        <v>0</v>
      </c>
      <c r="F13" t="s">
        <v>0</v>
      </c>
      <c r="G13" t="s">
        <v>0</v>
      </c>
      <c r="H13" t="s">
        <v>0</v>
      </c>
      <c r="I13" t="s">
        <v>0</v>
      </c>
      <c r="J13" t="s">
        <v>0</v>
      </c>
      <c r="K13" t="s">
        <v>0</v>
      </c>
      <c r="L13" t="s">
        <v>0</v>
      </c>
      <c r="M13" t="s">
        <v>0</v>
      </c>
      <c r="N13" t="s">
        <v>0</v>
      </c>
      <c r="O13" t="s">
        <v>0</v>
      </c>
      <c r="P13" t="s">
        <v>0</v>
      </c>
      <c r="Q13" t="s">
        <v>0</v>
      </c>
      <c r="R13" t="s">
        <v>0</v>
      </c>
      <c r="S13" t="s">
        <v>0</v>
      </c>
    </row>
    <row r="14" spans="1:19" x14ac:dyDescent="0.25">
      <c r="A14">
        <v>12</v>
      </c>
      <c r="B14" t="s">
        <v>0</v>
      </c>
      <c r="C14" t="s">
        <v>0</v>
      </c>
      <c r="D14" t="s">
        <v>0</v>
      </c>
      <c r="E14" t="s">
        <v>0</v>
      </c>
      <c r="F14" t="s">
        <v>0</v>
      </c>
      <c r="G14" t="s">
        <v>0</v>
      </c>
      <c r="H14" t="s">
        <v>0</v>
      </c>
      <c r="I14" t="s">
        <v>0</v>
      </c>
      <c r="J14" t="s">
        <v>0</v>
      </c>
      <c r="K14" t="s">
        <v>0</v>
      </c>
      <c r="L14" t="s">
        <v>0</v>
      </c>
      <c r="M14" t="s">
        <v>0</v>
      </c>
      <c r="N14" t="s">
        <v>0</v>
      </c>
      <c r="O14" t="s">
        <v>0</v>
      </c>
      <c r="P14" t="s">
        <v>0</v>
      </c>
      <c r="Q14" t="s">
        <v>0</v>
      </c>
      <c r="R14" t="s">
        <v>0</v>
      </c>
      <c r="S14" t="s">
        <v>0</v>
      </c>
    </row>
    <row r="15" spans="1:19" x14ac:dyDescent="0.25">
      <c r="A15">
        <v>13</v>
      </c>
      <c r="B15" t="s">
        <v>0</v>
      </c>
      <c r="C15" t="s">
        <v>0</v>
      </c>
      <c r="D15" t="s">
        <v>0</v>
      </c>
      <c r="E15" t="s">
        <v>0</v>
      </c>
      <c r="F15" t="s">
        <v>0</v>
      </c>
      <c r="G15" t="s">
        <v>0</v>
      </c>
      <c r="H15" t="s">
        <v>0</v>
      </c>
      <c r="I15" t="s">
        <v>0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  <c r="Q15" t="s">
        <v>0</v>
      </c>
      <c r="R15" t="s">
        <v>0</v>
      </c>
      <c r="S15" t="s">
        <v>0</v>
      </c>
    </row>
    <row r="16" spans="1:19" x14ac:dyDescent="0.25">
      <c r="A16">
        <v>14</v>
      </c>
      <c r="B16" t="s">
        <v>0</v>
      </c>
      <c r="C16" t="s">
        <v>0</v>
      </c>
      <c r="D16" t="s">
        <v>0</v>
      </c>
      <c r="E16" t="s">
        <v>0</v>
      </c>
      <c r="F16" t="s">
        <v>0</v>
      </c>
      <c r="G16" t="s">
        <v>0</v>
      </c>
      <c r="H16" t="s">
        <v>0</v>
      </c>
      <c r="I16" t="s">
        <v>0</v>
      </c>
      <c r="J16" t="s">
        <v>0</v>
      </c>
      <c r="K16" t="s">
        <v>0</v>
      </c>
      <c r="L16" t="s">
        <v>0</v>
      </c>
      <c r="M16" t="s">
        <v>0</v>
      </c>
      <c r="N16" t="s">
        <v>0</v>
      </c>
      <c r="O16" t="s">
        <v>0</v>
      </c>
      <c r="P16" t="s">
        <v>0</v>
      </c>
      <c r="Q16" t="s">
        <v>0</v>
      </c>
      <c r="R16" t="s">
        <v>0</v>
      </c>
      <c r="S16" t="s">
        <v>0</v>
      </c>
    </row>
    <row r="17" spans="1:19" x14ac:dyDescent="0.25">
      <c r="A17">
        <v>15</v>
      </c>
      <c r="B17" t="s">
        <v>0</v>
      </c>
      <c r="C17" t="s">
        <v>0</v>
      </c>
      <c r="D17" t="s">
        <v>0</v>
      </c>
      <c r="E17" t="s">
        <v>0</v>
      </c>
      <c r="F17" t="s">
        <v>0</v>
      </c>
      <c r="G17" t="s">
        <v>0</v>
      </c>
      <c r="H17" t="s">
        <v>0</v>
      </c>
      <c r="I17" t="s">
        <v>0</v>
      </c>
      <c r="J17" t="s">
        <v>0</v>
      </c>
      <c r="K17" t="s">
        <v>0</v>
      </c>
      <c r="L17" t="s">
        <v>0</v>
      </c>
      <c r="M17" t="s">
        <v>0</v>
      </c>
      <c r="N17" t="s">
        <v>0</v>
      </c>
      <c r="O17" t="s">
        <v>0</v>
      </c>
      <c r="P17" t="s">
        <v>0</v>
      </c>
      <c r="Q17" t="s">
        <v>0</v>
      </c>
      <c r="R17" t="s">
        <v>0</v>
      </c>
      <c r="S17" t="s">
        <v>0</v>
      </c>
    </row>
    <row r="18" spans="1:19" x14ac:dyDescent="0.25">
      <c r="A18">
        <v>16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</row>
    <row r="19" spans="1:19" x14ac:dyDescent="0.25">
      <c r="A19">
        <v>17</v>
      </c>
      <c r="B19" t="s">
        <v>0</v>
      </c>
      <c r="C19" t="s">
        <v>0</v>
      </c>
      <c r="D19" t="s">
        <v>0</v>
      </c>
      <c r="E19" t="s">
        <v>0</v>
      </c>
      <c r="F19" t="s">
        <v>0</v>
      </c>
      <c r="G19" t="s">
        <v>0</v>
      </c>
      <c r="H19" t="s">
        <v>0</v>
      </c>
      <c r="I19" t="s">
        <v>0</v>
      </c>
      <c r="J19" t="s">
        <v>0</v>
      </c>
      <c r="K19" t="s">
        <v>0</v>
      </c>
      <c r="L19" t="s">
        <v>0</v>
      </c>
      <c r="M19" t="s">
        <v>0</v>
      </c>
      <c r="N19" t="s">
        <v>0</v>
      </c>
      <c r="O19" t="s">
        <v>0</v>
      </c>
      <c r="P19" t="s">
        <v>0</v>
      </c>
      <c r="Q19" t="s">
        <v>0</v>
      </c>
      <c r="R19" t="s">
        <v>0</v>
      </c>
      <c r="S19" t="s">
        <v>0</v>
      </c>
    </row>
    <row r="20" spans="1:19" x14ac:dyDescent="0.25">
      <c r="A20">
        <v>18</v>
      </c>
      <c r="B20" t="s">
        <v>0</v>
      </c>
      <c r="C20" t="s">
        <v>0</v>
      </c>
      <c r="D20" t="s">
        <v>0</v>
      </c>
      <c r="E20" t="s">
        <v>0</v>
      </c>
      <c r="F20" t="s">
        <v>0</v>
      </c>
      <c r="G20" t="s">
        <v>0</v>
      </c>
      <c r="H20" t="s">
        <v>0</v>
      </c>
      <c r="I20" t="s">
        <v>0</v>
      </c>
      <c r="J20" t="s">
        <v>0</v>
      </c>
      <c r="K20" t="s">
        <v>0</v>
      </c>
      <c r="L20" t="s">
        <v>0</v>
      </c>
      <c r="M20" t="s">
        <v>0</v>
      </c>
      <c r="N20" t="s">
        <v>0</v>
      </c>
      <c r="O20" t="s">
        <v>0</v>
      </c>
      <c r="P20" t="s">
        <v>0</v>
      </c>
      <c r="Q20" t="s">
        <v>0</v>
      </c>
      <c r="R20" t="s">
        <v>0</v>
      </c>
      <c r="S20" t="s">
        <v>0</v>
      </c>
    </row>
    <row r="21" spans="1:19" x14ac:dyDescent="0.25">
      <c r="A21">
        <v>19</v>
      </c>
      <c r="B21" t="s">
        <v>0</v>
      </c>
      <c r="C21" t="s">
        <v>0</v>
      </c>
      <c r="D21" t="s">
        <v>0</v>
      </c>
      <c r="E21" t="s">
        <v>0</v>
      </c>
      <c r="F21" t="s">
        <v>0</v>
      </c>
      <c r="G21" t="s">
        <v>0</v>
      </c>
      <c r="H21" t="s">
        <v>0</v>
      </c>
      <c r="I21" t="s">
        <v>0</v>
      </c>
      <c r="J21" t="s">
        <v>0</v>
      </c>
      <c r="K21" t="s">
        <v>0</v>
      </c>
      <c r="L21" t="s">
        <v>0</v>
      </c>
      <c r="M21" t="s">
        <v>0</v>
      </c>
      <c r="N21" t="s">
        <v>0</v>
      </c>
      <c r="O21" t="s">
        <v>0</v>
      </c>
      <c r="P21" t="s">
        <v>0</v>
      </c>
      <c r="Q21" t="s">
        <v>0</v>
      </c>
      <c r="R21" t="s">
        <v>0</v>
      </c>
      <c r="S21" t="s">
        <v>0</v>
      </c>
    </row>
    <row r="22" spans="1:19" x14ac:dyDescent="0.25">
      <c r="A22">
        <v>20</v>
      </c>
      <c r="B22" t="s">
        <v>0</v>
      </c>
      <c r="C22" t="s">
        <v>0</v>
      </c>
      <c r="D22" t="s">
        <v>0</v>
      </c>
      <c r="E22" t="s">
        <v>0</v>
      </c>
      <c r="F22" t="s">
        <v>0</v>
      </c>
      <c r="G22" t="s">
        <v>0</v>
      </c>
      <c r="H22" t="s">
        <v>0</v>
      </c>
      <c r="I22" t="s">
        <v>0</v>
      </c>
      <c r="J22" t="s">
        <v>0</v>
      </c>
      <c r="K22" t="s">
        <v>0</v>
      </c>
      <c r="L22" t="s">
        <v>0</v>
      </c>
      <c r="M22" t="s">
        <v>0</v>
      </c>
      <c r="N22" t="s">
        <v>0</v>
      </c>
      <c r="O22" t="s">
        <v>0</v>
      </c>
      <c r="P22" t="s">
        <v>0</v>
      </c>
      <c r="Q22" t="s">
        <v>0</v>
      </c>
      <c r="R22" t="s">
        <v>0</v>
      </c>
      <c r="S22" t="s">
        <v>0</v>
      </c>
    </row>
    <row r="23" spans="1:19" x14ac:dyDescent="0.25">
      <c r="A23">
        <v>21</v>
      </c>
      <c r="B23" t="s">
        <v>0</v>
      </c>
      <c r="C23" t="s">
        <v>0</v>
      </c>
      <c r="D23" t="s">
        <v>0</v>
      </c>
      <c r="E23" t="s">
        <v>0</v>
      </c>
      <c r="F23" t="s">
        <v>0</v>
      </c>
      <c r="G23" t="s">
        <v>0</v>
      </c>
      <c r="H23" t="s">
        <v>0</v>
      </c>
      <c r="I23" t="s">
        <v>0</v>
      </c>
      <c r="J23" t="s">
        <v>0</v>
      </c>
      <c r="K23" t="s">
        <v>0</v>
      </c>
      <c r="L23" t="s">
        <v>0</v>
      </c>
      <c r="M23" t="s">
        <v>0</v>
      </c>
      <c r="N23" t="s">
        <v>0</v>
      </c>
      <c r="O23" t="s">
        <v>0</v>
      </c>
      <c r="P23" t="s">
        <v>0</v>
      </c>
      <c r="Q23" t="s">
        <v>0</v>
      </c>
      <c r="R23" t="s">
        <v>0</v>
      </c>
      <c r="S23" t="s">
        <v>0</v>
      </c>
    </row>
    <row r="24" spans="1:19" x14ac:dyDescent="0.25">
      <c r="A24">
        <v>22</v>
      </c>
      <c r="B24" t="s">
        <v>0</v>
      </c>
      <c r="C24" t="s">
        <v>0</v>
      </c>
      <c r="D24" t="s">
        <v>0</v>
      </c>
      <c r="E24" t="s">
        <v>0</v>
      </c>
      <c r="F24" t="s">
        <v>0</v>
      </c>
      <c r="G24" t="s">
        <v>0</v>
      </c>
      <c r="H24" t="s">
        <v>0</v>
      </c>
      <c r="I24" t="s">
        <v>0</v>
      </c>
      <c r="J24" t="s">
        <v>0</v>
      </c>
      <c r="K24" t="s">
        <v>0</v>
      </c>
      <c r="L24" t="s">
        <v>0</v>
      </c>
      <c r="M24" t="s">
        <v>0</v>
      </c>
      <c r="N24" t="s">
        <v>0</v>
      </c>
      <c r="O24" t="s">
        <v>0</v>
      </c>
      <c r="P24" t="s">
        <v>0</v>
      </c>
      <c r="Q24" t="s">
        <v>0</v>
      </c>
      <c r="R24" t="s">
        <v>0</v>
      </c>
      <c r="S24" t="s">
        <v>0</v>
      </c>
    </row>
    <row r="25" spans="1:19" x14ac:dyDescent="0.25">
      <c r="A25">
        <v>23</v>
      </c>
      <c r="B25" t="s">
        <v>0</v>
      </c>
      <c r="C25" t="s">
        <v>0</v>
      </c>
      <c r="D25" t="s">
        <v>0</v>
      </c>
      <c r="E25" t="s">
        <v>0</v>
      </c>
      <c r="F25" t="s">
        <v>0</v>
      </c>
      <c r="G25" t="s">
        <v>0</v>
      </c>
      <c r="H25" t="s">
        <v>0</v>
      </c>
      <c r="I25" t="s">
        <v>0</v>
      </c>
      <c r="J25" t="s">
        <v>0</v>
      </c>
      <c r="K25" t="s">
        <v>0</v>
      </c>
      <c r="L25" t="s">
        <v>0</v>
      </c>
      <c r="M25" t="s">
        <v>0</v>
      </c>
      <c r="N25" t="s">
        <v>0</v>
      </c>
      <c r="O25" t="s">
        <v>0</v>
      </c>
      <c r="P25" t="s">
        <v>0</v>
      </c>
      <c r="Q25" t="s">
        <v>0</v>
      </c>
      <c r="R25" t="s">
        <v>0</v>
      </c>
      <c r="S25" t="s">
        <v>0</v>
      </c>
    </row>
    <row r="26" spans="1:19" x14ac:dyDescent="0.25">
      <c r="A26">
        <v>24</v>
      </c>
      <c r="B26" t="s">
        <v>0</v>
      </c>
      <c r="C26" t="s">
        <v>0</v>
      </c>
      <c r="D26" t="s">
        <v>0</v>
      </c>
      <c r="E26" t="s">
        <v>0</v>
      </c>
      <c r="F26" t="s">
        <v>0</v>
      </c>
      <c r="G26" t="s">
        <v>0</v>
      </c>
      <c r="H26" t="s">
        <v>0</v>
      </c>
      <c r="I26" t="s">
        <v>0</v>
      </c>
      <c r="J26" t="s">
        <v>0</v>
      </c>
      <c r="K26" t="s">
        <v>0</v>
      </c>
      <c r="L26" t="s">
        <v>0</v>
      </c>
      <c r="M26" t="s">
        <v>0</v>
      </c>
      <c r="N26" t="s">
        <v>0</v>
      </c>
      <c r="O26" t="s">
        <v>0</v>
      </c>
      <c r="P26" t="s">
        <v>0</v>
      </c>
      <c r="Q26" t="s">
        <v>0</v>
      </c>
      <c r="R26" t="s">
        <v>0</v>
      </c>
      <c r="S26" t="s">
        <v>0</v>
      </c>
    </row>
    <row r="27" spans="1:19" x14ac:dyDescent="0.25">
      <c r="A27">
        <v>25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0</v>
      </c>
      <c r="K27" t="s">
        <v>0</v>
      </c>
      <c r="L27" t="s">
        <v>0</v>
      </c>
      <c r="M27" t="s">
        <v>0</v>
      </c>
      <c r="N27" t="s">
        <v>0</v>
      </c>
      <c r="O27" t="s">
        <v>0</v>
      </c>
      <c r="P27" t="s">
        <v>0</v>
      </c>
      <c r="Q27" t="s">
        <v>0</v>
      </c>
      <c r="R27" t="s">
        <v>0</v>
      </c>
      <c r="S27" t="s">
        <v>0</v>
      </c>
    </row>
    <row r="28" spans="1:19" x14ac:dyDescent="0.25">
      <c r="A28">
        <v>26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</row>
    <row r="29" spans="1:19" x14ac:dyDescent="0.25">
      <c r="A29">
        <v>27</v>
      </c>
      <c r="B29" t="s">
        <v>0</v>
      </c>
      <c r="C29" t="s">
        <v>0</v>
      </c>
      <c r="D29" t="s">
        <v>0</v>
      </c>
      <c r="E29" t="s">
        <v>0</v>
      </c>
      <c r="F29" t="s">
        <v>0</v>
      </c>
      <c r="G29" t="s">
        <v>0</v>
      </c>
      <c r="H29" t="s">
        <v>0</v>
      </c>
      <c r="I29" t="s">
        <v>0</v>
      </c>
      <c r="J29" t="s">
        <v>0</v>
      </c>
      <c r="K29" t="s">
        <v>0</v>
      </c>
      <c r="L29" t="s">
        <v>0</v>
      </c>
      <c r="M29" t="s">
        <v>0</v>
      </c>
      <c r="N29" t="s">
        <v>0</v>
      </c>
      <c r="O29" t="s">
        <v>0</v>
      </c>
      <c r="P29" t="s">
        <v>0</v>
      </c>
      <c r="Q29" t="s">
        <v>0</v>
      </c>
      <c r="R29" t="s">
        <v>0</v>
      </c>
      <c r="S29" t="s">
        <v>0</v>
      </c>
    </row>
    <row r="30" spans="1:19" x14ac:dyDescent="0.25">
      <c r="A30">
        <v>28</v>
      </c>
      <c r="B30" t="s">
        <v>0</v>
      </c>
      <c r="C30" t="s">
        <v>0</v>
      </c>
      <c r="D30" t="s">
        <v>0</v>
      </c>
      <c r="E30" t="s">
        <v>0</v>
      </c>
      <c r="F30" t="s">
        <v>0</v>
      </c>
      <c r="G30" t="s">
        <v>0</v>
      </c>
      <c r="H30" t="s">
        <v>0</v>
      </c>
      <c r="I30" t="s">
        <v>0</v>
      </c>
      <c r="J30" t="s">
        <v>0</v>
      </c>
      <c r="K30" t="s">
        <v>0</v>
      </c>
      <c r="L30" t="s">
        <v>0</v>
      </c>
      <c r="M30" t="s">
        <v>0</v>
      </c>
      <c r="N30" t="s">
        <v>0</v>
      </c>
      <c r="O30" t="s">
        <v>0</v>
      </c>
      <c r="P30" t="s">
        <v>0</v>
      </c>
      <c r="Q30" t="s">
        <v>0</v>
      </c>
      <c r="R30" t="s">
        <v>0</v>
      </c>
      <c r="S30" t="s">
        <v>0</v>
      </c>
    </row>
    <row r="31" spans="1:19" x14ac:dyDescent="0.25">
      <c r="A31">
        <v>29</v>
      </c>
      <c r="B31" t="s">
        <v>0</v>
      </c>
      <c r="C31" t="s">
        <v>0</v>
      </c>
      <c r="D31" t="s">
        <v>0</v>
      </c>
      <c r="E31" t="s">
        <v>0</v>
      </c>
      <c r="F31" t="s">
        <v>0</v>
      </c>
      <c r="G31" t="s">
        <v>0</v>
      </c>
      <c r="H31" t="s">
        <v>0</v>
      </c>
      <c r="I31" t="s">
        <v>0</v>
      </c>
      <c r="J31" t="s">
        <v>0</v>
      </c>
      <c r="K31" t="s">
        <v>0</v>
      </c>
      <c r="L31" t="s">
        <v>0</v>
      </c>
      <c r="M31" t="s">
        <v>0</v>
      </c>
      <c r="N31" t="s">
        <v>0</v>
      </c>
      <c r="O31" t="s">
        <v>0</v>
      </c>
      <c r="P31" t="s">
        <v>0</v>
      </c>
      <c r="Q31" t="s">
        <v>0</v>
      </c>
      <c r="R31" t="s">
        <v>0</v>
      </c>
      <c r="S31" t="s">
        <v>0</v>
      </c>
    </row>
    <row r="32" spans="1:19" x14ac:dyDescent="0.25">
      <c r="A32">
        <v>30</v>
      </c>
      <c r="B32" t="s">
        <v>0</v>
      </c>
      <c r="C32" t="s">
        <v>0</v>
      </c>
      <c r="D32" t="s">
        <v>0</v>
      </c>
      <c r="E32" t="s">
        <v>0</v>
      </c>
      <c r="F32" t="s">
        <v>0</v>
      </c>
      <c r="G32" t="s">
        <v>0</v>
      </c>
      <c r="H32" t="s">
        <v>0</v>
      </c>
      <c r="I32" t="s">
        <v>0</v>
      </c>
      <c r="J32" t="s">
        <v>0</v>
      </c>
      <c r="K32" t="s">
        <v>0</v>
      </c>
      <c r="L32" t="s">
        <v>0</v>
      </c>
      <c r="M32" t="s">
        <v>0</v>
      </c>
      <c r="N32" t="s">
        <v>0</v>
      </c>
      <c r="O32" t="s">
        <v>0</v>
      </c>
      <c r="P32" t="s">
        <v>0</v>
      </c>
      <c r="Q32" t="s">
        <v>0</v>
      </c>
      <c r="R32" t="s">
        <v>0</v>
      </c>
      <c r="S32" t="s">
        <v>0</v>
      </c>
    </row>
    <row r="33" spans="1:19" x14ac:dyDescent="0.25">
      <c r="A33">
        <v>31</v>
      </c>
      <c r="B33" t="s">
        <v>0</v>
      </c>
      <c r="C33" t="s">
        <v>0</v>
      </c>
      <c r="D33" t="s">
        <v>0</v>
      </c>
      <c r="E33" t="s">
        <v>0</v>
      </c>
      <c r="F33" t="s">
        <v>0</v>
      </c>
      <c r="G33" t="s">
        <v>0</v>
      </c>
      <c r="H33" t="s">
        <v>0</v>
      </c>
      <c r="I33" t="s">
        <v>0</v>
      </c>
      <c r="J33" t="s">
        <v>0</v>
      </c>
      <c r="K33" t="s">
        <v>0</v>
      </c>
      <c r="L33" t="s">
        <v>0</v>
      </c>
      <c r="M33" t="s">
        <v>0</v>
      </c>
      <c r="N33" t="s">
        <v>0</v>
      </c>
      <c r="O33" t="s">
        <v>0</v>
      </c>
      <c r="P33" t="s">
        <v>0</v>
      </c>
      <c r="Q33" t="s">
        <v>0</v>
      </c>
      <c r="R33" t="s">
        <v>0</v>
      </c>
      <c r="S33" t="s">
        <v>0</v>
      </c>
    </row>
    <row r="34" spans="1:19" x14ac:dyDescent="0.25">
      <c r="A34">
        <v>32</v>
      </c>
      <c r="B34" t="s">
        <v>0</v>
      </c>
      <c r="C34" t="s">
        <v>0</v>
      </c>
      <c r="D34" t="s">
        <v>0</v>
      </c>
      <c r="E34" t="s">
        <v>0</v>
      </c>
      <c r="F34" t="s">
        <v>0</v>
      </c>
      <c r="G34" t="s">
        <v>0</v>
      </c>
      <c r="H34" t="s">
        <v>0</v>
      </c>
      <c r="I34" t="s">
        <v>0</v>
      </c>
      <c r="J34" t="s">
        <v>0</v>
      </c>
      <c r="K34" t="s">
        <v>0</v>
      </c>
      <c r="L34" t="s">
        <v>0</v>
      </c>
      <c r="M34" t="s">
        <v>0</v>
      </c>
      <c r="N34" t="s">
        <v>0</v>
      </c>
      <c r="O34" t="s">
        <v>0</v>
      </c>
      <c r="P34" t="s">
        <v>0</v>
      </c>
      <c r="Q34" t="s">
        <v>0</v>
      </c>
      <c r="R34" t="s">
        <v>0</v>
      </c>
      <c r="S34" t="s">
        <v>0</v>
      </c>
    </row>
    <row r="35" spans="1:19" x14ac:dyDescent="0.25">
      <c r="A35">
        <v>33</v>
      </c>
      <c r="B35" t="s">
        <v>0</v>
      </c>
      <c r="C35" t="s">
        <v>0</v>
      </c>
      <c r="D35" t="s">
        <v>0</v>
      </c>
      <c r="E35" t="s">
        <v>0</v>
      </c>
      <c r="F35" t="s">
        <v>0</v>
      </c>
      <c r="G35" t="s">
        <v>0</v>
      </c>
      <c r="H35" t="s">
        <v>0</v>
      </c>
      <c r="I35" t="s">
        <v>0</v>
      </c>
      <c r="J35" t="s">
        <v>0</v>
      </c>
      <c r="K35" t="s">
        <v>0</v>
      </c>
      <c r="L35" t="s">
        <v>0</v>
      </c>
      <c r="M35" t="s">
        <v>0</v>
      </c>
      <c r="N35" t="s">
        <v>0</v>
      </c>
      <c r="O35" t="s">
        <v>0</v>
      </c>
      <c r="P35" t="s">
        <v>0</v>
      </c>
      <c r="Q35" t="s">
        <v>0</v>
      </c>
      <c r="R35" t="s">
        <v>0</v>
      </c>
      <c r="S35" t="s">
        <v>0</v>
      </c>
    </row>
    <row r="36" spans="1:19" x14ac:dyDescent="0.25">
      <c r="A36">
        <v>34</v>
      </c>
      <c r="B36" t="s">
        <v>0</v>
      </c>
      <c r="C36" t="s">
        <v>0</v>
      </c>
      <c r="D36" t="s">
        <v>0</v>
      </c>
      <c r="E36" t="s">
        <v>0</v>
      </c>
      <c r="F36" t="s">
        <v>0</v>
      </c>
      <c r="G36" t="s">
        <v>0</v>
      </c>
      <c r="H36" t="s">
        <v>0</v>
      </c>
      <c r="I36" t="s">
        <v>0</v>
      </c>
      <c r="J36" t="s">
        <v>0</v>
      </c>
      <c r="K36" t="s">
        <v>0</v>
      </c>
      <c r="L36" t="s">
        <v>0</v>
      </c>
      <c r="M36" t="s">
        <v>0</v>
      </c>
      <c r="N36" t="s">
        <v>0</v>
      </c>
      <c r="O36" t="s">
        <v>0</v>
      </c>
      <c r="P36" t="s">
        <v>0</v>
      </c>
      <c r="Q36" t="s">
        <v>0</v>
      </c>
      <c r="R36" t="s">
        <v>0</v>
      </c>
      <c r="S36" t="s">
        <v>0</v>
      </c>
    </row>
    <row r="37" spans="1:19" x14ac:dyDescent="0.25">
      <c r="A37">
        <v>35</v>
      </c>
      <c r="B37" t="s">
        <v>0</v>
      </c>
      <c r="C37" t="s">
        <v>0</v>
      </c>
      <c r="D37" t="s">
        <v>0</v>
      </c>
      <c r="E37" t="s">
        <v>0</v>
      </c>
      <c r="F37" t="s">
        <v>0</v>
      </c>
      <c r="G37" t="s">
        <v>0</v>
      </c>
      <c r="H37" t="s">
        <v>0</v>
      </c>
      <c r="I37" t="s">
        <v>0</v>
      </c>
      <c r="J37" t="s">
        <v>0</v>
      </c>
      <c r="K37" t="s">
        <v>0</v>
      </c>
      <c r="L37" t="s">
        <v>0</v>
      </c>
      <c r="M37" t="s">
        <v>0</v>
      </c>
      <c r="N37" t="s">
        <v>0</v>
      </c>
      <c r="O37" t="s">
        <v>0</v>
      </c>
      <c r="P37" t="s">
        <v>0</v>
      </c>
      <c r="Q37" t="s">
        <v>0</v>
      </c>
      <c r="R37" t="s">
        <v>0</v>
      </c>
      <c r="S37" t="s">
        <v>0</v>
      </c>
    </row>
    <row r="38" spans="1:19" x14ac:dyDescent="0.25">
      <c r="A38">
        <v>36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</row>
    <row r="39" spans="1:19" x14ac:dyDescent="0.25">
      <c r="A39">
        <v>37</v>
      </c>
      <c r="B39" t="s">
        <v>0</v>
      </c>
      <c r="C39" t="s">
        <v>0</v>
      </c>
      <c r="D39" t="s">
        <v>0</v>
      </c>
      <c r="E39" t="s">
        <v>0</v>
      </c>
      <c r="F39" t="s">
        <v>0</v>
      </c>
      <c r="G39" t="s">
        <v>0</v>
      </c>
      <c r="H39" t="s">
        <v>0</v>
      </c>
      <c r="I39" t="s">
        <v>0</v>
      </c>
      <c r="J39" t="s">
        <v>0</v>
      </c>
      <c r="K39" t="s">
        <v>0</v>
      </c>
      <c r="L39" t="s">
        <v>0</v>
      </c>
      <c r="M39" t="s">
        <v>0</v>
      </c>
      <c r="N39" t="s">
        <v>0</v>
      </c>
      <c r="O39" t="s">
        <v>0</v>
      </c>
      <c r="P39" t="s">
        <v>0</v>
      </c>
      <c r="Q39" t="s">
        <v>0</v>
      </c>
      <c r="R39" t="s">
        <v>0</v>
      </c>
      <c r="S39" t="s">
        <v>0</v>
      </c>
    </row>
    <row r="40" spans="1:19" x14ac:dyDescent="0.25">
      <c r="A40">
        <v>38</v>
      </c>
      <c r="B40" t="s">
        <v>0</v>
      </c>
      <c r="C40" t="s">
        <v>0</v>
      </c>
      <c r="D40" t="s">
        <v>0</v>
      </c>
      <c r="E40" t="s">
        <v>0</v>
      </c>
      <c r="F40" t="s">
        <v>0</v>
      </c>
      <c r="G40" t="s">
        <v>0</v>
      </c>
      <c r="H40" t="s">
        <v>0</v>
      </c>
      <c r="I40" t="s">
        <v>0</v>
      </c>
      <c r="J40" t="s">
        <v>0</v>
      </c>
      <c r="K40" t="s">
        <v>0</v>
      </c>
      <c r="L40" t="s">
        <v>0</v>
      </c>
      <c r="M40" t="s">
        <v>0</v>
      </c>
      <c r="N40" t="s">
        <v>0</v>
      </c>
      <c r="O40" t="s">
        <v>0</v>
      </c>
      <c r="P40" t="s">
        <v>0</v>
      </c>
      <c r="Q40" t="s">
        <v>0</v>
      </c>
      <c r="R40" t="s">
        <v>0</v>
      </c>
      <c r="S40" t="s">
        <v>0</v>
      </c>
    </row>
    <row r="41" spans="1:19" x14ac:dyDescent="0.25">
      <c r="A41">
        <v>39</v>
      </c>
      <c r="B41" t="s">
        <v>0</v>
      </c>
      <c r="C41" t="s">
        <v>0</v>
      </c>
      <c r="D41" t="s">
        <v>0</v>
      </c>
      <c r="E41" t="s">
        <v>0</v>
      </c>
      <c r="F41" t="s">
        <v>0</v>
      </c>
      <c r="G41" t="s">
        <v>0</v>
      </c>
      <c r="H41" t="s">
        <v>0</v>
      </c>
      <c r="I41" t="s">
        <v>0</v>
      </c>
      <c r="J41" t="s">
        <v>0</v>
      </c>
      <c r="K41" t="s">
        <v>0</v>
      </c>
      <c r="L41" t="s">
        <v>0</v>
      </c>
      <c r="M41" t="s">
        <v>0</v>
      </c>
      <c r="N41" t="s">
        <v>0</v>
      </c>
      <c r="O41" t="s">
        <v>0</v>
      </c>
      <c r="P41" t="s">
        <v>0</v>
      </c>
      <c r="Q41" t="s">
        <v>0</v>
      </c>
      <c r="R41" t="s">
        <v>0</v>
      </c>
      <c r="S41" t="s">
        <v>0</v>
      </c>
    </row>
    <row r="42" spans="1:19" x14ac:dyDescent="0.25">
      <c r="A42">
        <v>40</v>
      </c>
      <c r="B42" t="s">
        <v>0</v>
      </c>
      <c r="C42" t="s">
        <v>0</v>
      </c>
      <c r="D42" t="s">
        <v>0</v>
      </c>
      <c r="E42" t="s">
        <v>0</v>
      </c>
      <c r="F42" t="s">
        <v>0</v>
      </c>
      <c r="G42" t="s">
        <v>0</v>
      </c>
      <c r="H42" t="s">
        <v>0</v>
      </c>
      <c r="I42" t="s">
        <v>0</v>
      </c>
      <c r="J42" t="s">
        <v>0</v>
      </c>
      <c r="K42" t="s">
        <v>0</v>
      </c>
      <c r="L42" t="s">
        <v>0</v>
      </c>
      <c r="M42" t="s">
        <v>0</v>
      </c>
      <c r="N42" t="s">
        <v>0</v>
      </c>
      <c r="O42" t="s">
        <v>0</v>
      </c>
      <c r="P42" t="s">
        <v>0</v>
      </c>
      <c r="Q42" t="s">
        <v>0</v>
      </c>
      <c r="R42" t="s">
        <v>0</v>
      </c>
      <c r="S42" t="s">
        <v>0</v>
      </c>
    </row>
    <row r="43" spans="1:19" x14ac:dyDescent="0.25">
      <c r="A43">
        <v>41</v>
      </c>
      <c r="B43" t="s">
        <v>0</v>
      </c>
      <c r="C43" t="s">
        <v>0</v>
      </c>
      <c r="D43" t="s">
        <v>0</v>
      </c>
      <c r="E43" t="s">
        <v>0</v>
      </c>
      <c r="F43" t="s">
        <v>0</v>
      </c>
      <c r="G43" t="s">
        <v>0</v>
      </c>
      <c r="H43" t="s">
        <v>0</v>
      </c>
      <c r="I43" t="s">
        <v>0</v>
      </c>
      <c r="J43" t="s">
        <v>0</v>
      </c>
      <c r="K43" t="s">
        <v>0</v>
      </c>
      <c r="L43" t="s">
        <v>0</v>
      </c>
      <c r="M43" t="s">
        <v>0</v>
      </c>
      <c r="N43" t="s">
        <v>0</v>
      </c>
      <c r="O43" t="s">
        <v>0</v>
      </c>
      <c r="P43" t="s">
        <v>0</v>
      </c>
      <c r="Q43" t="s">
        <v>0</v>
      </c>
      <c r="R43" t="s">
        <v>0</v>
      </c>
      <c r="S43" t="s">
        <v>0</v>
      </c>
    </row>
    <row r="44" spans="1:19" x14ac:dyDescent="0.25">
      <c r="A44">
        <v>42</v>
      </c>
      <c r="B44" t="s">
        <v>0</v>
      </c>
      <c r="C44" t="s">
        <v>0</v>
      </c>
      <c r="D44" t="s">
        <v>0</v>
      </c>
      <c r="E44" t="s">
        <v>0</v>
      </c>
      <c r="F44" t="s">
        <v>0</v>
      </c>
      <c r="G44" t="s">
        <v>0</v>
      </c>
      <c r="H44" t="s">
        <v>0</v>
      </c>
      <c r="I44" t="s">
        <v>0</v>
      </c>
      <c r="J44" t="s">
        <v>0</v>
      </c>
      <c r="K44" t="s">
        <v>0</v>
      </c>
      <c r="L44" t="s">
        <v>0</v>
      </c>
      <c r="M44" t="s">
        <v>0</v>
      </c>
      <c r="N44" t="s">
        <v>0</v>
      </c>
      <c r="O44" t="s">
        <v>0</v>
      </c>
      <c r="P44" t="s">
        <v>0</v>
      </c>
      <c r="Q44" t="s">
        <v>0</v>
      </c>
      <c r="R44" t="s">
        <v>0</v>
      </c>
      <c r="S44" t="s">
        <v>0</v>
      </c>
    </row>
    <row r="45" spans="1:19" x14ac:dyDescent="0.25">
      <c r="A45">
        <v>43</v>
      </c>
      <c r="B45" t="s">
        <v>0</v>
      </c>
      <c r="C45" t="s">
        <v>0</v>
      </c>
      <c r="D45" t="s">
        <v>0</v>
      </c>
      <c r="E45" t="s">
        <v>0</v>
      </c>
      <c r="F45" t="s">
        <v>0</v>
      </c>
      <c r="G45" t="s">
        <v>0</v>
      </c>
      <c r="H45" t="s">
        <v>0</v>
      </c>
      <c r="I45" t="s">
        <v>0</v>
      </c>
      <c r="J45" t="s">
        <v>0</v>
      </c>
      <c r="K45" t="s">
        <v>0</v>
      </c>
      <c r="L45" t="s">
        <v>0</v>
      </c>
      <c r="M45" t="s">
        <v>0</v>
      </c>
      <c r="N45" t="s">
        <v>0</v>
      </c>
      <c r="O45" t="s">
        <v>0</v>
      </c>
      <c r="P45" t="s">
        <v>0</v>
      </c>
      <c r="Q45" t="s">
        <v>0</v>
      </c>
      <c r="R45" t="s">
        <v>0</v>
      </c>
      <c r="S45" t="s">
        <v>0</v>
      </c>
    </row>
    <row r="46" spans="1:19" x14ac:dyDescent="0.25">
      <c r="A46">
        <v>44</v>
      </c>
      <c r="B46" t="s">
        <v>0</v>
      </c>
      <c r="C46" t="s">
        <v>0</v>
      </c>
      <c r="D46" t="s">
        <v>0</v>
      </c>
      <c r="E46" t="s">
        <v>0</v>
      </c>
      <c r="F46" t="s">
        <v>0</v>
      </c>
      <c r="G46" t="s">
        <v>0</v>
      </c>
      <c r="H46" t="s">
        <v>0</v>
      </c>
      <c r="I46" t="s">
        <v>0</v>
      </c>
      <c r="J46" t="s">
        <v>0</v>
      </c>
      <c r="K46" t="s">
        <v>0</v>
      </c>
      <c r="L46" t="s">
        <v>0</v>
      </c>
      <c r="M46" t="s">
        <v>0</v>
      </c>
      <c r="N46" t="s">
        <v>0</v>
      </c>
      <c r="O46" t="s">
        <v>0</v>
      </c>
      <c r="P46" t="s">
        <v>0</v>
      </c>
      <c r="Q46" t="s">
        <v>0</v>
      </c>
      <c r="R46" t="s">
        <v>0</v>
      </c>
      <c r="S46" t="s">
        <v>0</v>
      </c>
    </row>
    <row r="47" spans="1:19" x14ac:dyDescent="0.25">
      <c r="A47">
        <v>45</v>
      </c>
      <c r="B47" t="s">
        <v>0</v>
      </c>
      <c r="C47" t="s">
        <v>0</v>
      </c>
      <c r="D47" t="s">
        <v>0</v>
      </c>
      <c r="E47" t="s">
        <v>0</v>
      </c>
      <c r="F47" t="s">
        <v>0</v>
      </c>
      <c r="G47" t="s">
        <v>0</v>
      </c>
      <c r="H47" t="s">
        <v>0</v>
      </c>
      <c r="I47" t="s">
        <v>0</v>
      </c>
      <c r="J47" t="s">
        <v>0</v>
      </c>
      <c r="K47" t="s">
        <v>0</v>
      </c>
      <c r="L47" t="s">
        <v>0</v>
      </c>
      <c r="M47" t="s">
        <v>0</v>
      </c>
      <c r="N47" t="s">
        <v>0</v>
      </c>
      <c r="O47" t="s">
        <v>0</v>
      </c>
      <c r="P47" t="s">
        <v>0</v>
      </c>
      <c r="Q47" t="s">
        <v>0</v>
      </c>
      <c r="R47" t="s">
        <v>0</v>
      </c>
      <c r="S47" t="s">
        <v>0</v>
      </c>
    </row>
    <row r="48" spans="1:19" x14ac:dyDescent="0.25">
      <c r="A48">
        <v>46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</row>
    <row r="49" spans="1:19" x14ac:dyDescent="0.25">
      <c r="A49">
        <v>47</v>
      </c>
      <c r="B49" t="s">
        <v>0</v>
      </c>
      <c r="C49" t="s">
        <v>0</v>
      </c>
      <c r="D49" t="s">
        <v>0</v>
      </c>
      <c r="E49" t="s">
        <v>0</v>
      </c>
      <c r="F49" t="s">
        <v>0</v>
      </c>
      <c r="G49" t="s">
        <v>0</v>
      </c>
      <c r="H49" t="s">
        <v>0</v>
      </c>
      <c r="I49" t="s">
        <v>0</v>
      </c>
      <c r="J49" t="s">
        <v>0</v>
      </c>
      <c r="K49" t="s">
        <v>0</v>
      </c>
      <c r="L49" t="s">
        <v>0</v>
      </c>
      <c r="M49" t="s">
        <v>0</v>
      </c>
      <c r="N49" t="s">
        <v>0</v>
      </c>
      <c r="O49" t="s">
        <v>0</v>
      </c>
      <c r="P49" t="s">
        <v>0</v>
      </c>
      <c r="Q49" t="s">
        <v>0</v>
      </c>
      <c r="R49" t="s">
        <v>0</v>
      </c>
      <c r="S49" t="s">
        <v>0</v>
      </c>
    </row>
    <row r="50" spans="1:19" x14ac:dyDescent="0.25">
      <c r="A50">
        <v>48</v>
      </c>
      <c r="B50" t="s">
        <v>0</v>
      </c>
      <c r="C50" t="s">
        <v>0</v>
      </c>
      <c r="D50" t="s">
        <v>0</v>
      </c>
      <c r="E50" t="s">
        <v>0</v>
      </c>
      <c r="F50" t="s">
        <v>0</v>
      </c>
      <c r="G50" t="s">
        <v>0</v>
      </c>
      <c r="H50" t="s">
        <v>0</v>
      </c>
      <c r="I50" t="s">
        <v>0</v>
      </c>
      <c r="J50" t="s">
        <v>0</v>
      </c>
      <c r="K50" t="s">
        <v>0</v>
      </c>
      <c r="L50" t="s">
        <v>0</v>
      </c>
      <c r="M50" t="s">
        <v>0</v>
      </c>
      <c r="N50" t="s">
        <v>0</v>
      </c>
      <c r="O50" t="s">
        <v>0</v>
      </c>
      <c r="P50" t="s">
        <v>0</v>
      </c>
      <c r="Q50" t="s">
        <v>0</v>
      </c>
      <c r="R50" t="s">
        <v>0</v>
      </c>
      <c r="S50" t="s">
        <v>0</v>
      </c>
    </row>
    <row r="51" spans="1:19" x14ac:dyDescent="0.25">
      <c r="A51">
        <v>49</v>
      </c>
      <c r="B51" t="s">
        <v>0</v>
      </c>
      <c r="C51" t="s">
        <v>0</v>
      </c>
      <c r="D51" t="s">
        <v>0</v>
      </c>
      <c r="E51" t="s">
        <v>0</v>
      </c>
      <c r="F51" t="s">
        <v>0</v>
      </c>
      <c r="G51" t="s">
        <v>0</v>
      </c>
      <c r="H51" t="s">
        <v>0</v>
      </c>
      <c r="I51" t="s">
        <v>0</v>
      </c>
      <c r="J51" t="s">
        <v>0</v>
      </c>
      <c r="K51" t="s">
        <v>0</v>
      </c>
      <c r="L51" t="s">
        <v>0</v>
      </c>
      <c r="M51" t="s">
        <v>0</v>
      </c>
      <c r="N51" t="s">
        <v>0</v>
      </c>
      <c r="O51" t="s">
        <v>0</v>
      </c>
      <c r="P51" t="s">
        <v>0</v>
      </c>
      <c r="Q51" t="s">
        <v>0</v>
      </c>
      <c r="R51" t="s">
        <v>0</v>
      </c>
      <c r="S51" t="s">
        <v>0</v>
      </c>
    </row>
    <row r="52" spans="1:19" x14ac:dyDescent="0.25">
      <c r="A52">
        <v>50</v>
      </c>
      <c r="B52" t="s">
        <v>0</v>
      </c>
      <c r="C52" t="s">
        <v>0</v>
      </c>
      <c r="D52" t="s">
        <v>0</v>
      </c>
      <c r="E52" t="s">
        <v>0</v>
      </c>
      <c r="F52" t="s">
        <v>0</v>
      </c>
      <c r="G52" t="s">
        <v>0</v>
      </c>
      <c r="H52" t="s">
        <v>0</v>
      </c>
      <c r="I52" t="s">
        <v>0</v>
      </c>
      <c r="J52" t="s">
        <v>0</v>
      </c>
      <c r="K52" t="s">
        <v>0</v>
      </c>
      <c r="L52" t="s">
        <v>0</v>
      </c>
      <c r="M52" t="s">
        <v>0</v>
      </c>
      <c r="N52" t="s">
        <v>0</v>
      </c>
      <c r="O52" t="s">
        <v>0</v>
      </c>
      <c r="P52" t="s">
        <v>0</v>
      </c>
      <c r="Q52" t="s">
        <v>0</v>
      </c>
      <c r="R52" t="s">
        <v>0</v>
      </c>
      <c r="S52" t="s">
        <v>0</v>
      </c>
    </row>
    <row r="53" spans="1:19" x14ac:dyDescent="0.25">
      <c r="A53">
        <v>51</v>
      </c>
      <c r="B53" t="s">
        <v>0</v>
      </c>
      <c r="C53" t="s">
        <v>0</v>
      </c>
      <c r="D53" t="s">
        <v>0</v>
      </c>
      <c r="E53" t="s">
        <v>0</v>
      </c>
      <c r="F53" t="s">
        <v>0</v>
      </c>
      <c r="G53" t="s">
        <v>0</v>
      </c>
      <c r="H53" t="s">
        <v>0</v>
      </c>
      <c r="I53" t="s">
        <v>0</v>
      </c>
      <c r="J53" t="s">
        <v>0</v>
      </c>
      <c r="K53" t="s">
        <v>0</v>
      </c>
      <c r="L53" t="s">
        <v>0</v>
      </c>
      <c r="M53" t="s">
        <v>0</v>
      </c>
      <c r="N53" t="s">
        <v>0</v>
      </c>
      <c r="O53" t="s">
        <v>0</v>
      </c>
      <c r="P53" t="s">
        <v>0</v>
      </c>
      <c r="Q53" t="s">
        <v>0</v>
      </c>
      <c r="R53" t="s">
        <v>0</v>
      </c>
      <c r="S53" t="s">
        <v>0</v>
      </c>
    </row>
    <row r="54" spans="1:19" x14ac:dyDescent="0.25">
      <c r="A54">
        <v>52</v>
      </c>
      <c r="B54" t="s">
        <v>0</v>
      </c>
      <c r="C54" t="s">
        <v>0</v>
      </c>
      <c r="D54" t="s">
        <v>0</v>
      </c>
      <c r="E54" t="s">
        <v>0</v>
      </c>
      <c r="F54" t="s">
        <v>0</v>
      </c>
      <c r="G54" t="s">
        <v>0</v>
      </c>
      <c r="H54" t="s">
        <v>0</v>
      </c>
      <c r="I54" t="s">
        <v>0</v>
      </c>
      <c r="J54" t="s">
        <v>0</v>
      </c>
      <c r="K54" t="s">
        <v>0</v>
      </c>
      <c r="L54" t="s">
        <v>0</v>
      </c>
      <c r="M54" t="s">
        <v>0</v>
      </c>
      <c r="N54" t="s">
        <v>0</v>
      </c>
      <c r="O54" t="s">
        <v>0</v>
      </c>
      <c r="P54" t="s">
        <v>0</v>
      </c>
      <c r="Q54" t="s">
        <v>0</v>
      </c>
      <c r="R54" t="s">
        <v>0</v>
      </c>
      <c r="S54" t="s">
        <v>0</v>
      </c>
    </row>
    <row r="55" spans="1:19" x14ac:dyDescent="0.25">
      <c r="A55">
        <v>53</v>
      </c>
      <c r="B55" t="s">
        <v>0</v>
      </c>
      <c r="C55" t="s">
        <v>0</v>
      </c>
      <c r="D55" t="s">
        <v>0</v>
      </c>
      <c r="E55" t="s">
        <v>0</v>
      </c>
      <c r="F55" t="s">
        <v>0</v>
      </c>
      <c r="G55" t="s">
        <v>0</v>
      </c>
      <c r="H55" t="s">
        <v>0</v>
      </c>
      <c r="I55" t="s">
        <v>0</v>
      </c>
      <c r="J55" t="s">
        <v>0</v>
      </c>
      <c r="K55" t="s">
        <v>0</v>
      </c>
      <c r="L55" t="s">
        <v>0</v>
      </c>
      <c r="M55" t="s">
        <v>0</v>
      </c>
      <c r="N55" t="s">
        <v>0</v>
      </c>
      <c r="O55" t="s">
        <v>0</v>
      </c>
      <c r="P55" t="s">
        <v>0</v>
      </c>
      <c r="Q55" t="s">
        <v>0</v>
      </c>
      <c r="R55" t="s">
        <v>0</v>
      </c>
      <c r="S55" t="s">
        <v>0</v>
      </c>
    </row>
    <row r="56" spans="1:19" x14ac:dyDescent="0.25">
      <c r="A56">
        <v>54</v>
      </c>
      <c r="B56" t="s">
        <v>0</v>
      </c>
      <c r="C56" t="s">
        <v>0</v>
      </c>
      <c r="D56" t="s">
        <v>0</v>
      </c>
      <c r="E56" t="s">
        <v>0</v>
      </c>
      <c r="F56" t="s">
        <v>0</v>
      </c>
      <c r="G56" t="s">
        <v>0</v>
      </c>
      <c r="H56" t="s">
        <v>0</v>
      </c>
      <c r="I56" t="s">
        <v>0</v>
      </c>
      <c r="J56" t="s">
        <v>0</v>
      </c>
      <c r="K56" t="s">
        <v>0</v>
      </c>
      <c r="L56" t="s">
        <v>0</v>
      </c>
      <c r="M56" t="s">
        <v>0</v>
      </c>
      <c r="N56" t="s">
        <v>0</v>
      </c>
      <c r="O56" t="s">
        <v>0</v>
      </c>
      <c r="P56" t="s">
        <v>0</v>
      </c>
      <c r="Q56" t="s">
        <v>0</v>
      </c>
      <c r="R56" t="s">
        <v>0</v>
      </c>
      <c r="S56" t="s">
        <v>0</v>
      </c>
    </row>
    <row r="57" spans="1:19" x14ac:dyDescent="0.25">
      <c r="A57">
        <v>55</v>
      </c>
      <c r="B57" t="s">
        <v>0</v>
      </c>
      <c r="C57" t="s">
        <v>0</v>
      </c>
      <c r="D57" t="s">
        <v>0</v>
      </c>
      <c r="E57" t="s">
        <v>0</v>
      </c>
      <c r="F57" t="s">
        <v>0</v>
      </c>
      <c r="G57" t="s">
        <v>0</v>
      </c>
      <c r="H57" t="s">
        <v>0</v>
      </c>
      <c r="I57" t="s">
        <v>0</v>
      </c>
      <c r="J57" t="s">
        <v>0</v>
      </c>
      <c r="K57" t="s">
        <v>0</v>
      </c>
      <c r="L57" t="s">
        <v>0</v>
      </c>
      <c r="M57" t="s">
        <v>0</v>
      </c>
      <c r="N57" t="s">
        <v>0</v>
      </c>
      <c r="O57" t="s">
        <v>0</v>
      </c>
      <c r="P57" t="s">
        <v>0</v>
      </c>
      <c r="Q57" t="s">
        <v>0</v>
      </c>
      <c r="R57" t="s">
        <v>0</v>
      </c>
      <c r="S57" t="s">
        <v>0</v>
      </c>
    </row>
    <row r="58" spans="1:19" x14ac:dyDescent="0.25">
      <c r="A58">
        <v>56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</row>
    <row r="59" spans="1:19" x14ac:dyDescent="0.25">
      <c r="A59">
        <v>57</v>
      </c>
      <c r="B59" t="s">
        <v>0</v>
      </c>
      <c r="C59" t="s">
        <v>0</v>
      </c>
      <c r="D59" t="s">
        <v>0</v>
      </c>
      <c r="E59" t="s">
        <v>0</v>
      </c>
      <c r="F59" t="s">
        <v>0</v>
      </c>
      <c r="G59" t="s">
        <v>0</v>
      </c>
      <c r="H59" t="s">
        <v>0</v>
      </c>
      <c r="I59" t="s">
        <v>0</v>
      </c>
      <c r="J59" t="s">
        <v>0</v>
      </c>
      <c r="K59" t="s">
        <v>0</v>
      </c>
      <c r="L59" t="s">
        <v>0</v>
      </c>
      <c r="M59" t="s">
        <v>0</v>
      </c>
      <c r="N59" t="s">
        <v>0</v>
      </c>
      <c r="O59" t="s">
        <v>0</v>
      </c>
      <c r="P59" t="s">
        <v>0</v>
      </c>
      <c r="Q59" t="s">
        <v>0</v>
      </c>
      <c r="R59" t="s">
        <v>0</v>
      </c>
      <c r="S59" t="s">
        <v>0</v>
      </c>
    </row>
    <row r="60" spans="1:19" x14ac:dyDescent="0.25">
      <c r="A60">
        <v>58</v>
      </c>
      <c r="B60" t="s">
        <v>0</v>
      </c>
      <c r="C60" t="s">
        <v>0</v>
      </c>
      <c r="D60" t="s">
        <v>0</v>
      </c>
      <c r="E60" t="s">
        <v>0</v>
      </c>
      <c r="F60" t="s">
        <v>0</v>
      </c>
      <c r="G60" t="s">
        <v>0</v>
      </c>
      <c r="H60" t="s">
        <v>0</v>
      </c>
      <c r="I60" t="s">
        <v>0</v>
      </c>
      <c r="J60" t="s">
        <v>0</v>
      </c>
      <c r="K60" t="s">
        <v>0</v>
      </c>
      <c r="L60" t="s">
        <v>0</v>
      </c>
      <c r="M60" t="s">
        <v>0</v>
      </c>
      <c r="N60" t="s">
        <v>0</v>
      </c>
      <c r="O60" t="s">
        <v>0</v>
      </c>
      <c r="P60" t="s">
        <v>0</v>
      </c>
      <c r="Q60" t="s">
        <v>0</v>
      </c>
      <c r="R60" t="s">
        <v>0</v>
      </c>
      <c r="S60" t="s">
        <v>0</v>
      </c>
    </row>
    <row r="61" spans="1:19" x14ac:dyDescent="0.25">
      <c r="A61">
        <v>59</v>
      </c>
      <c r="B61" t="s">
        <v>0</v>
      </c>
      <c r="C61" t="s">
        <v>0</v>
      </c>
      <c r="D61" t="s">
        <v>0</v>
      </c>
      <c r="E61" t="s">
        <v>0</v>
      </c>
      <c r="F61" t="s">
        <v>0</v>
      </c>
      <c r="G61" t="s">
        <v>0</v>
      </c>
      <c r="H61" t="s">
        <v>0</v>
      </c>
      <c r="I61" t="s">
        <v>0</v>
      </c>
      <c r="J61" t="s">
        <v>0</v>
      </c>
      <c r="K61" t="s">
        <v>0</v>
      </c>
      <c r="L61" t="s">
        <v>0</v>
      </c>
      <c r="M61" t="s">
        <v>0</v>
      </c>
      <c r="N61" t="s">
        <v>0</v>
      </c>
      <c r="O61" t="s">
        <v>0</v>
      </c>
      <c r="P61" t="s">
        <v>0</v>
      </c>
      <c r="Q61" t="s">
        <v>0</v>
      </c>
      <c r="R61" t="s">
        <v>0</v>
      </c>
      <c r="S61" t="s">
        <v>0</v>
      </c>
    </row>
    <row r="62" spans="1:19" x14ac:dyDescent="0.25">
      <c r="A62">
        <v>60</v>
      </c>
      <c r="B62" t="s">
        <v>0</v>
      </c>
      <c r="C62" t="s">
        <v>0</v>
      </c>
      <c r="D62" t="s">
        <v>0</v>
      </c>
      <c r="E62" t="s">
        <v>0</v>
      </c>
      <c r="F62" t="s">
        <v>0</v>
      </c>
      <c r="G62" t="s">
        <v>0</v>
      </c>
      <c r="H62" t="s">
        <v>0</v>
      </c>
      <c r="I62" t="s">
        <v>0</v>
      </c>
      <c r="J62" t="s">
        <v>0</v>
      </c>
      <c r="K62" t="s">
        <v>0</v>
      </c>
      <c r="L62" t="s">
        <v>0</v>
      </c>
      <c r="M62" t="s">
        <v>0</v>
      </c>
      <c r="N62" t="s">
        <v>0</v>
      </c>
      <c r="O62" t="s">
        <v>0</v>
      </c>
      <c r="P62" t="s">
        <v>0</v>
      </c>
      <c r="Q62" t="s">
        <v>0</v>
      </c>
      <c r="R62" t="s">
        <v>0</v>
      </c>
      <c r="S62" t="s">
        <v>0</v>
      </c>
    </row>
    <row r="63" spans="1:19" x14ac:dyDescent="0.25">
      <c r="A63">
        <v>61</v>
      </c>
      <c r="B63" t="s">
        <v>0</v>
      </c>
      <c r="C63" t="s">
        <v>0</v>
      </c>
      <c r="D63" t="s">
        <v>0</v>
      </c>
      <c r="E63" t="s">
        <v>0</v>
      </c>
      <c r="F63" t="s">
        <v>0</v>
      </c>
      <c r="G63" t="s">
        <v>0</v>
      </c>
      <c r="H63" t="s">
        <v>0</v>
      </c>
      <c r="I63" t="s">
        <v>0</v>
      </c>
      <c r="J63" t="s">
        <v>0</v>
      </c>
      <c r="K63" t="s">
        <v>0</v>
      </c>
      <c r="L63" t="s">
        <v>0</v>
      </c>
      <c r="M63" t="s">
        <v>0</v>
      </c>
      <c r="N63" t="s">
        <v>0</v>
      </c>
      <c r="O63" t="s">
        <v>0</v>
      </c>
      <c r="P63" t="s">
        <v>0</v>
      </c>
      <c r="Q63" t="s">
        <v>0</v>
      </c>
      <c r="R63" t="s">
        <v>0</v>
      </c>
      <c r="S63" t="s">
        <v>0</v>
      </c>
    </row>
    <row r="64" spans="1:19" x14ac:dyDescent="0.25">
      <c r="A64">
        <v>62</v>
      </c>
      <c r="B64" t="s">
        <v>0</v>
      </c>
      <c r="C64" t="s">
        <v>0</v>
      </c>
      <c r="D64" t="s">
        <v>0</v>
      </c>
      <c r="E64" t="s">
        <v>0</v>
      </c>
      <c r="F64" t="s">
        <v>0</v>
      </c>
      <c r="G64" t="s">
        <v>0</v>
      </c>
      <c r="H64" t="s">
        <v>0</v>
      </c>
      <c r="I64" t="s">
        <v>0</v>
      </c>
      <c r="J64" t="s">
        <v>0</v>
      </c>
      <c r="K64" t="s">
        <v>0</v>
      </c>
      <c r="L64" t="s">
        <v>0</v>
      </c>
      <c r="M64" t="s">
        <v>0</v>
      </c>
      <c r="N64" t="s">
        <v>0</v>
      </c>
      <c r="O64" t="s">
        <v>0</v>
      </c>
      <c r="P64" t="s">
        <v>0</v>
      </c>
      <c r="Q64" t="s">
        <v>0</v>
      </c>
      <c r="R64" t="s">
        <v>0</v>
      </c>
      <c r="S64" t="s">
        <v>0</v>
      </c>
    </row>
    <row r="65" spans="1:19" x14ac:dyDescent="0.25">
      <c r="A65">
        <v>63</v>
      </c>
      <c r="B65" t="s">
        <v>0</v>
      </c>
      <c r="C65" t="s">
        <v>0</v>
      </c>
      <c r="D65" t="s">
        <v>0</v>
      </c>
      <c r="E65" t="s">
        <v>0</v>
      </c>
      <c r="F65" t="s">
        <v>0</v>
      </c>
      <c r="G65" t="s">
        <v>0</v>
      </c>
      <c r="H65" t="s">
        <v>0</v>
      </c>
      <c r="I65" t="s">
        <v>0</v>
      </c>
      <c r="J65" t="s">
        <v>0</v>
      </c>
      <c r="K65" t="s">
        <v>0</v>
      </c>
      <c r="L65" t="s">
        <v>0</v>
      </c>
      <c r="M65" t="s">
        <v>0</v>
      </c>
      <c r="N65" t="s">
        <v>0</v>
      </c>
      <c r="O65" t="s">
        <v>0</v>
      </c>
      <c r="P65" t="s">
        <v>0</v>
      </c>
      <c r="Q65" t="s">
        <v>0</v>
      </c>
      <c r="R65" t="s">
        <v>0</v>
      </c>
      <c r="S65" t="s">
        <v>0</v>
      </c>
    </row>
    <row r="66" spans="1:19" x14ac:dyDescent="0.25">
      <c r="A66">
        <v>64</v>
      </c>
      <c r="B66" t="s">
        <v>0</v>
      </c>
      <c r="C66" t="s">
        <v>0</v>
      </c>
      <c r="D66" t="s">
        <v>0</v>
      </c>
      <c r="E66" t="s">
        <v>0</v>
      </c>
      <c r="F66" t="s">
        <v>0</v>
      </c>
      <c r="G66" t="s">
        <v>0</v>
      </c>
      <c r="H66" t="s">
        <v>0</v>
      </c>
      <c r="I66" t="s">
        <v>0</v>
      </c>
      <c r="J66" t="s">
        <v>0</v>
      </c>
      <c r="K66" t="s">
        <v>0</v>
      </c>
      <c r="L66" t="s">
        <v>0</v>
      </c>
      <c r="M66" t="s">
        <v>0</v>
      </c>
      <c r="N66" t="s">
        <v>0</v>
      </c>
      <c r="O66" t="s">
        <v>0</v>
      </c>
      <c r="P66" t="s">
        <v>0</v>
      </c>
      <c r="Q66" t="s">
        <v>0</v>
      </c>
      <c r="R66" t="s">
        <v>0</v>
      </c>
      <c r="S66" t="s">
        <v>0</v>
      </c>
    </row>
    <row r="67" spans="1:19" x14ac:dyDescent="0.25">
      <c r="A67">
        <v>65</v>
      </c>
      <c r="B67" t="s">
        <v>0</v>
      </c>
      <c r="C67" t="s">
        <v>0</v>
      </c>
      <c r="D67" t="s">
        <v>0</v>
      </c>
      <c r="E67" t="s">
        <v>0</v>
      </c>
      <c r="F67" t="s">
        <v>0</v>
      </c>
      <c r="G67" t="s">
        <v>0</v>
      </c>
      <c r="H67" t="s">
        <v>0</v>
      </c>
      <c r="I67" t="s">
        <v>0</v>
      </c>
      <c r="J67" t="s">
        <v>0</v>
      </c>
      <c r="K67" t="s">
        <v>0</v>
      </c>
      <c r="L67" t="s">
        <v>0</v>
      </c>
      <c r="M67" t="s">
        <v>0</v>
      </c>
      <c r="N67" t="s">
        <v>0</v>
      </c>
      <c r="O67" t="s">
        <v>0</v>
      </c>
      <c r="P67" t="s">
        <v>0</v>
      </c>
      <c r="Q67" t="s">
        <v>0</v>
      </c>
      <c r="R67" t="s">
        <v>0</v>
      </c>
      <c r="S67" t="s">
        <v>0</v>
      </c>
    </row>
    <row r="68" spans="1:19" x14ac:dyDescent="0.25">
      <c r="A68">
        <v>66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</row>
    <row r="69" spans="1:19" x14ac:dyDescent="0.25">
      <c r="A69">
        <v>67</v>
      </c>
      <c r="B69" t="s">
        <v>0</v>
      </c>
      <c r="C69" t="s">
        <v>0</v>
      </c>
      <c r="D69" t="s">
        <v>0</v>
      </c>
      <c r="E69" t="s">
        <v>0</v>
      </c>
      <c r="F69" t="s">
        <v>0</v>
      </c>
      <c r="G69" t="s">
        <v>0</v>
      </c>
      <c r="H69" t="s">
        <v>0</v>
      </c>
      <c r="I69" t="s">
        <v>0</v>
      </c>
      <c r="J69" t="s">
        <v>0</v>
      </c>
      <c r="K69" t="s">
        <v>0</v>
      </c>
      <c r="L69" t="s">
        <v>0</v>
      </c>
      <c r="M69" t="s">
        <v>0</v>
      </c>
      <c r="N69" t="s">
        <v>0</v>
      </c>
      <c r="O69" t="s">
        <v>0</v>
      </c>
      <c r="P69" t="s">
        <v>0</v>
      </c>
      <c r="Q69" t="s">
        <v>0</v>
      </c>
      <c r="R69" t="s">
        <v>0</v>
      </c>
      <c r="S69" t="s">
        <v>0</v>
      </c>
    </row>
    <row r="70" spans="1:19" x14ac:dyDescent="0.25">
      <c r="A70">
        <v>68</v>
      </c>
      <c r="B70" t="s">
        <v>0</v>
      </c>
      <c r="C70" t="s">
        <v>0</v>
      </c>
      <c r="D70" t="s">
        <v>0</v>
      </c>
      <c r="E70" t="s">
        <v>0</v>
      </c>
      <c r="F70" t="s">
        <v>0</v>
      </c>
      <c r="G70" t="s">
        <v>0</v>
      </c>
      <c r="H70" t="s">
        <v>0</v>
      </c>
      <c r="I70" t="s">
        <v>0</v>
      </c>
      <c r="J70" t="s">
        <v>0</v>
      </c>
      <c r="K70" t="s">
        <v>0</v>
      </c>
      <c r="L70" t="s">
        <v>0</v>
      </c>
      <c r="M70" t="s">
        <v>0</v>
      </c>
      <c r="N70" t="s">
        <v>0</v>
      </c>
      <c r="O70" t="s">
        <v>0</v>
      </c>
      <c r="P70" t="s">
        <v>0</v>
      </c>
      <c r="Q70" t="s">
        <v>0</v>
      </c>
      <c r="R70" t="s">
        <v>0</v>
      </c>
      <c r="S70" t="s">
        <v>0</v>
      </c>
    </row>
    <row r="71" spans="1:19" x14ac:dyDescent="0.25">
      <c r="A71">
        <v>69</v>
      </c>
      <c r="B71" t="s">
        <v>0</v>
      </c>
      <c r="C71" t="s">
        <v>0</v>
      </c>
      <c r="D71" t="s">
        <v>0</v>
      </c>
      <c r="E71" t="s">
        <v>0</v>
      </c>
      <c r="F71" t="s">
        <v>0</v>
      </c>
      <c r="G71" t="s">
        <v>0</v>
      </c>
      <c r="H71" t="s">
        <v>0</v>
      </c>
      <c r="I71" t="s">
        <v>0</v>
      </c>
      <c r="J71" t="s">
        <v>0</v>
      </c>
      <c r="K71" t="s">
        <v>0</v>
      </c>
      <c r="L71" t="s">
        <v>0</v>
      </c>
      <c r="M71" t="s">
        <v>0</v>
      </c>
      <c r="N71" t="s">
        <v>0</v>
      </c>
      <c r="O71" t="s">
        <v>0</v>
      </c>
      <c r="P71" t="s">
        <v>0</v>
      </c>
      <c r="Q71" t="s">
        <v>0</v>
      </c>
      <c r="R71" t="s">
        <v>0</v>
      </c>
      <c r="S71" t="s">
        <v>0</v>
      </c>
    </row>
    <row r="72" spans="1:19" x14ac:dyDescent="0.25">
      <c r="A72">
        <v>70</v>
      </c>
      <c r="B72" t="s">
        <v>0</v>
      </c>
      <c r="C72" t="s">
        <v>0</v>
      </c>
      <c r="D72" t="s">
        <v>0</v>
      </c>
      <c r="E72" t="s">
        <v>0</v>
      </c>
      <c r="F72" t="s">
        <v>0</v>
      </c>
      <c r="G72" t="s">
        <v>0</v>
      </c>
      <c r="H72" t="s">
        <v>0</v>
      </c>
      <c r="I72" t="s">
        <v>0</v>
      </c>
      <c r="J72" t="s">
        <v>0</v>
      </c>
      <c r="K72" t="s">
        <v>0</v>
      </c>
      <c r="L72" t="s">
        <v>0</v>
      </c>
      <c r="M72" t="s">
        <v>0</v>
      </c>
      <c r="N72" t="s">
        <v>0</v>
      </c>
      <c r="O72" t="s">
        <v>0</v>
      </c>
      <c r="P72" t="s">
        <v>0</v>
      </c>
      <c r="Q72" t="s">
        <v>0</v>
      </c>
      <c r="R72" t="s">
        <v>0</v>
      </c>
      <c r="S72" t="s">
        <v>0</v>
      </c>
    </row>
    <row r="73" spans="1:19" x14ac:dyDescent="0.25">
      <c r="A73">
        <v>71</v>
      </c>
      <c r="B73" t="s">
        <v>0</v>
      </c>
      <c r="C73" t="s">
        <v>0</v>
      </c>
      <c r="D73" t="s">
        <v>0</v>
      </c>
      <c r="E73" t="s">
        <v>0</v>
      </c>
      <c r="F73" t="s">
        <v>0</v>
      </c>
      <c r="G73" t="s">
        <v>0</v>
      </c>
      <c r="H73" t="s">
        <v>0</v>
      </c>
      <c r="I73" t="s">
        <v>0</v>
      </c>
      <c r="J73" t="s">
        <v>0</v>
      </c>
      <c r="K73" t="s">
        <v>0</v>
      </c>
      <c r="L73" t="s">
        <v>0</v>
      </c>
      <c r="M73" t="s">
        <v>0</v>
      </c>
      <c r="N73" t="s">
        <v>0</v>
      </c>
      <c r="O73" t="s">
        <v>0</v>
      </c>
      <c r="P73" t="s">
        <v>0</v>
      </c>
      <c r="Q73" t="s">
        <v>0</v>
      </c>
      <c r="R73" t="s">
        <v>0</v>
      </c>
      <c r="S73" t="s">
        <v>0</v>
      </c>
    </row>
    <row r="74" spans="1:19" x14ac:dyDescent="0.25">
      <c r="A74">
        <v>72</v>
      </c>
      <c r="B74" t="s">
        <v>0</v>
      </c>
      <c r="C74" t="s">
        <v>0</v>
      </c>
      <c r="D74" t="s">
        <v>0</v>
      </c>
      <c r="E74" t="s">
        <v>0</v>
      </c>
      <c r="F74" t="s">
        <v>0</v>
      </c>
      <c r="G74" t="s">
        <v>0</v>
      </c>
      <c r="H74" t="s">
        <v>0</v>
      </c>
      <c r="I74" t="s">
        <v>0</v>
      </c>
      <c r="J74" t="s">
        <v>0</v>
      </c>
      <c r="K74" t="s">
        <v>0</v>
      </c>
      <c r="L74" t="s">
        <v>0</v>
      </c>
      <c r="M74" t="s">
        <v>0</v>
      </c>
      <c r="N74" t="s">
        <v>0</v>
      </c>
      <c r="O74" t="s">
        <v>0</v>
      </c>
      <c r="P74" t="s">
        <v>0</v>
      </c>
      <c r="Q74" t="s">
        <v>0</v>
      </c>
      <c r="R74" t="s">
        <v>0</v>
      </c>
      <c r="S74" t="s">
        <v>0</v>
      </c>
    </row>
    <row r="75" spans="1:19" x14ac:dyDescent="0.25">
      <c r="A75">
        <v>73</v>
      </c>
      <c r="B75" t="s">
        <v>0</v>
      </c>
      <c r="C75" t="s">
        <v>0</v>
      </c>
      <c r="D75" t="s">
        <v>0</v>
      </c>
      <c r="E75" t="s">
        <v>0</v>
      </c>
      <c r="F75" t="s">
        <v>0</v>
      </c>
      <c r="G75" t="s">
        <v>0</v>
      </c>
      <c r="H75" t="s">
        <v>0</v>
      </c>
      <c r="I75" t="s">
        <v>0</v>
      </c>
      <c r="J75" t="s">
        <v>0</v>
      </c>
      <c r="K75" t="s">
        <v>0</v>
      </c>
      <c r="L75" t="s">
        <v>0</v>
      </c>
      <c r="M75" t="s">
        <v>0</v>
      </c>
      <c r="N75" t="s">
        <v>0</v>
      </c>
      <c r="O75" t="s">
        <v>0</v>
      </c>
      <c r="P75" t="s">
        <v>0</v>
      </c>
      <c r="Q75" t="s">
        <v>0</v>
      </c>
      <c r="R75" t="s">
        <v>0</v>
      </c>
      <c r="S75" t="s">
        <v>0</v>
      </c>
    </row>
    <row r="76" spans="1:19" x14ac:dyDescent="0.25">
      <c r="A76">
        <v>74</v>
      </c>
      <c r="B76" t="s">
        <v>0</v>
      </c>
      <c r="C76" t="s">
        <v>0</v>
      </c>
      <c r="D76" t="s">
        <v>0</v>
      </c>
      <c r="E76" t="s">
        <v>0</v>
      </c>
      <c r="F76" t="s">
        <v>0</v>
      </c>
      <c r="G76" t="s">
        <v>0</v>
      </c>
      <c r="H76" t="s">
        <v>0</v>
      </c>
      <c r="I76" t="s">
        <v>0</v>
      </c>
      <c r="J76" t="s">
        <v>0</v>
      </c>
      <c r="K76" t="s">
        <v>0</v>
      </c>
      <c r="L76" t="s">
        <v>0</v>
      </c>
      <c r="M76" t="s">
        <v>0</v>
      </c>
      <c r="N76" t="s">
        <v>0</v>
      </c>
      <c r="O76" t="s">
        <v>0</v>
      </c>
      <c r="P76" t="s">
        <v>0</v>
      </c>
      <c r="Q76" t="s">
        <v>0</v>
      </c>
      <c r="R76" t="s">
        <v>0</v>
      </c>
      <c r="S76" t="s">
        <v>0</v>
      </c>
    </row>
    <row r="77" spans="1:19" x14ac:dyDescent="0.25">
      <c r="A77">
        <v>75</v>
      </c>
      <c r="B77" t="s">
        <v>0</v>
      </c>
      <c r="C77" t="s">
        <v>0</v>
      </c>
      <c r="D77" t="s">
        <v>0</v>
      </c>
      <c r="E77" t="s">
        <v>0</v>
      </c>
      <c r="F77" t="s">
        <v>0</v>
      </c>
      <c r="G77" t="s">
        <v>0</v>
      </c>
      <c r="H77" t="s">
        <v>0</v>
      </c>
      <c r="I77" t="s">
        <v>0</v>
      </c>
      <c r="J77" t="s">
        <v>0</v>
      </c>
      <c r="K77" t="s">
        <v>0</v>
      </c>
      <c r="L77" t="s">
        <v>0</v>
      </c>
      <c r="M77" t="s">
        <v>0</v>
      </c>
      <c r="N77" t="s">
        <v>0</v>
      </c>
      <c r="O77" t="s">
        <v>0</v>
      </c>
      <c r="P77" t="s">
        <v>0</v>
      </c>
      <c r="Q77" t="s">
        <v>0</v>
      </c>
      <c r="R77" t="s">
        <v>0</v>
      </c>
      <c r="S77" t="s">
        <v>0</v>
      </c>
    </row>
    <row r="78" spans="1:19" x14ac:dyDescent="0.25">
      <c r="A78">
        <v>76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</row>
    <row r="79" spans="1:19" x14ac:dyDescent="0.25">
      <c r="A79">
        <v>77</v>
      </c>
      <c r="B79" t="s">
        <v>0</v>
      </c>
      <c r="C79" t="s">
        <v>0</v>
      </c>
      <c r="D79" t="s">
        <v>0</v>
      </c>
      <c r="E79" t="s">
        <v>0</v>
      </c>
      <c r="F79" t="s">
        <v>0</v>
      </c>
      <c r="G79" t="s">
        <v>0</v>
      </c>
      <c r="H79" t="s">
        <v>0</v>
      </c>
      <c r="I79" t="s">
        <v>0</v>
      </c>
      <c r="J79" t="s">
        <v>0</v>
      </c>
      <c r="K79" t="s">
        <v>0</v>
      </c>
      <c r="L79" t="s">
        <v>0</v>
      </c>
      <c r="M79" t="s">
        <v>0</v>
      </c>
      <c r="N79" t="s">
        <v>0</v>
      </c>
      <c r="O79" t="s">
        <v>0</v>
      </c>
      <c r="P79" t="s">
        <v>0</v>
      </c>
      <c r="Q79" t="s">
        <v>0</v>
      </c>
      <c r="R79" t="s">
        <v>0</v>
      </c>
      <c r="S79" t="s">
        <v>0</v>
      </c>
    </row>
    <row r="80" spans="1:19" x14ac:dyDescent="0.25">
      <c r="A80">
        <v>78</v>
      </c>
      <c r="B80" t="s">
        <v>0</v>
      </c>
      <c r="C80" t="s">
        <v>0</v>
      </c>
      <c r="D80" t="s">
        <v>0</v>
      </c>
      <c r="E80" t="s">
        <v>0</v>
      </c>
      <c r="F80" t="s">
        <v>0</v>
      </c>
      <c r="G80" t="s">
        <v>0</v>
      </c>
      <c r="H80" t="s">
        <v>0</v>
      </c>
      <c r="I80" t="s">
        <v>0</v>
      </c>
      <c r="J80" t="s">
        <v>0</v>
      </c>
      <c r="K80" t="s">
        <v>0</v>
      </c>
      <c r="L80" t="s">
        <v>0</v>
      </c>
      <c r="M80" t="s">
        <v>0</v>
      </c>
      <c r="N80" t="s">
        <v>0</v>
      </c>
      <c r="O80" t="s">
        <v>0</v>
      </c>
      <c r="P80" t="s">
        <v>0</v>
      </c>
      <c r="Q80" t="s">
        <v>0</v>
      </c>
      <c r="R80" t="s">
        <v>0</v>
      </c>
      <c r="S80" t="s">
        <v>0</v>
      </c>
    </row>
    <row r="81" spans="1:19" x14ac:dyDescent="0.25">
      <c r="A81">
        <v>79</v>
      </c>
      <c r="B81" t="s">
        <v>0</v>
      </c>
      <c r="C81" t="s">
        <v>0</v>
      </c>
      <c r="D81" t="s">
        <v>0</v>
      </c>
      <c r="E81" t="s">
        <v>0</v>
      </c>
      <c r="F81" t="s">
        <v>0</v>
      </c>
      <c r="G81" t="s">
        <v>0</v>
      </c>
      <c r="H81" t="s">
        <v>0</v>
      </c>
      <c r="I81" t="s">
        <v>0</v>
      </c>
      <c r="J81" t="s">
        <v>0</v>
      </c>
      <c r="K81" t="s">
        <v>0</v>
      </c>
      <c r="L81" t="s">
        <v>0</v>
      </c>
      <c r="M81" t="s">
        <v>0</v>
      </c>
      <c r="N81" t="s">
        <v>0</v>
      </c>
      <c r="O81" t="s">
        <v>0</v>
      </c>
      <c r="P81" t="s">
        <v>0</v>
      </c>
      <c r="Q81" t="s">
        <v>0</v>
      </c>
      <c r="R81" t="s">
        <v>0</v>
      </c>
      <c r="S81" t="s">
        <v>0</v>
      </c>
    </row>
    <row r="82" spans="1:19" x14ac:dyDescent="0.25">
      <c r="A82">
        <v>80</v>
      </c>
      <c r="B82" t="s">
        <v>0</v>
      </c>
      <c r="C82" t="s">
        <v>0</v>
      </c>
      <c r="D82" t="s">
        <v>0</v>
      </c>
      <c r="E82" t="s">
        <v>0</v>
      </c>
      <c r="F82" t="s">
        <v>0</v>
      </c>
      <c r="G82" t="s">
        <v>0</v>
      </c>
      <c r="H82" t="s">
        <v>0</v>
      </c>
      <c r="I82" t="s">
        <v>0</v>
      </c>
      <c r="J82" t="s">
        <v>0</v>
      </c>
      <c r="K82" t="s">
        <v>0</v>
      </c>
      <c r="L82" t="s">
        <v>0</v>
      </c>
      <c r="M82" t="s">
        <v>0</v>
      </c>
      <c r="N82" t="s">
        <v>0</v>
      </c>
      <c r="O82" t="s">
        <v>0</v>
      </c>
      <c r="P82" t="s">
        <v>0</v>
      </c>
      <c r="Q82" t="s">
        <v>0</v>
      </c>
      <c r="R82" t="s">
        <v>0</v>
      </c>
      <c r="S82" t="s">
        <v>0</v>
      </c>
    </row>
    <row r="83" spans="1:19" x14ac:dyDescent="0.25">
      <c r="A83">
        <v>81</v>
      </c>
      <c r="B83" t="s">
        <v>0</v>
      </c>
      <c r="C83" t="s">
        <v>0</v>
      </c>
      <c r="D83" t="s">
        <v>0</v>
      </c>
      <c r="E83" t="s">
        <v>0</v>
      </c>
      <c r="F83" t="s">
        <v>0</v>
      </c>
      <c r="G83" t="s">
        <v>0</v>
      </c>
      <c r="H83" t="s">
        <v>0</v>
      </c>
      <c r="I83" t="s">
        <v>0</v>
      </c>
      <c r="J83" t="s">
        <v>0</v>
      </c>
      <c r="K83" t="s">
        <v>0</v>
      </c>
      <c r="L83" t="s">
        <v>0</v>
      </c>
      <c r="M83" t="s">
        <v>0</v>
      </c>
      <c r="N83" t="s">
        <v>0</v>
      </c>
      <c r="O83" t="s">
        <v>0</v>
      </c>
      <c r="P83" t="s">
        <v>0</v>
      </c>
      <c r="Q83" t="s">
        <v>0</v>
      </c>
      <c r="R83" t="s">
        <v>0</v>
      </c>
      <c r="S83" t="s">
        <v>0</v>
      </c>
    </row>
    <row r="84" spans="1:19" x14ac:dyDescent="0.25">
      <c r="A84">
        <v>82</v>
      </c>
      <c r="B84" t="s">
        <v>0</v>
      </c>
      <c r="C84" t="s">
        <v>0</v>
      </c>
      <c r="D84" t="s">
        <v>0</v>
      </c>
      <c r="E84" t="s">
        <v>0</v>
      </c>
      <c r="F84" t="s">
        <v>0</v>
      </c>
      <c r="G84" t="s">
        <v>0</v>
      </c>
      <c r="H84" t="s">
        <v>0</v>
      </c>
      <c r="I84" t="s">
        <v>0</v>
      </c>
      <c r="J84" t="s">
        <v>0</v>
      </c>
      <c r="K84" t="s">
        <v>0</v>
      </c>
      <c r="L84" t="s">
        <v>0</v>
      </c>
      <c r="M84" t="s">
        <v>0</v>
      </c>
      <c r="N84" t="s">
        <v>0</v>
      </c>
      <c r="O84" t="s">
        <v>0</v>
      </c>
      <c r="P84" t="s">
        <v>0</v>
      </c>
      <c r="Q84" t="s">
        <v>0</v>
      </c>
      <c r="R84" t="s">
        <v>0</v>
      </c>
      <c r="S84" t="s">
        <v>0</v>
      </c>
    </row>
    <row r="85" spans="1:19" x14ac:dyDescent="0.25">
      <c r="A85">
        <v>83</v>
      </c>
      <c r="B85" t="s">
        <v>0</v>
      </c>
      <c r="C85" t="s">
        <v>0</v>
      </c>
      <c r="D85" t="s">
        <v>0</v>
      </c>
      <c r="E85" t="s">
        <v>0</v>
      </c>
      <c r="F85" t="s">
        <v>0</v>
      </c>
      <c r="G85" t="s">
        <v>0</v>
      </c>
      <c r="H85" t="s">
        <v>0</v>
      </c>
      <c r="I85" t="s">
        <v>0</v>
      </c>
      <c r="J85" t="s">
        <v>0</v>
      </c>
      <c r="K85" t="s">
        <v>0</v>
      </c>
      <c r="L85" t="s">
        <v>0</v>
      </c>
      <c r="M85" t="s">
        <v>0</v>
      </c>
      <c r="N85" t="s">
        <v>0</v>
      </c>
      <c r="O85" t="s">
        <v>0</v>
      </c>
      <c r="P85" t="s">
        <v>0</v>
      </c>
      <c r="Q85" t="s">
        <v>0</v>
      </c>
      <c r="R85" t="s">
        <v>0</v>
      </c>
      <c r="S85" t="s">
        <v>0</v>
      </c>
    </row>
    <row r="86" spans="1:19" x14ac:dyDescent="0.25">
      <c r="A86">
        <v>84</v>
      </c>
      <c r="B86" t="s">
        <v>0</v>
      </c>
      <c r="C86" t="s">
        <v>0</v>
      </c>
      <c r="D86" t="s">
        <v>0</v>
      </c>
      <c r="E86" t="s">
        <v>0</v>
      </c>
      <c r="F86" t="s">
        <v>0</v>
      </c>
      <c r="G86" t="s">
        <v>0</v>
      </c>
      <c r="H86" t="s">
        <v>0</v>
      </c>
      <c r="I86" t="s">
        <v>0</v>
      </c>
      <c r="J86" t="s">
        <v>0</v>
      </c>
      <c r="K86" t="s">
        <v>0</v>
      </c>
      <c r="L86" t="s">
        <v>0</v>
      </c>
      <c r="M86" t="s">
        <v>0</v>
      </c>
      <c r="N86" t="s">
        <v>0</v>
      </c>
      <c r="O86" t="s">
        <v>0</v>
      </c>
      <c r="P86" t="s">
        <v>0</v>
      </c>
      <c r="Q86" t="s">
        <v>0</v>
      </c>
      <c r="R86" t="s">
        <v>0</v>
      </c>
      <c r="S86" t="s">
        <v>0</v>
      </c>
    </row>
    <row r="87" spans="1:19" x14ac:dyDescent="0.25">
      <c r="A87">
        <v>85</v>
      </c>
      <c r="B87" t="s">
        <v>0</v>
      </c>
      <c r="C87" t="s">
        <v>0</v>
      </c>
      <c r="D87" t="s">
        <v>0</v>
      </c>
      <c r="E87" t="s">
        <v>0</v>
      </c>
      <c r="F87" t="s">
        <v>0</v>
      </c>
      <c r="G87" t="s">
        <v>0</v>
      </c>
      <c r="H87" t="s">
        <v>0</v>
      </c>
      <c r="I87" t="s">
        <v>0</v>
      </c>
      <c r="J87" t="s">
        <v>0</v>
      </c>
      <c r="K87" t="s">
        <v>0</v>
      </c>
      <c r="L87" t="s">
        <v>0</v>
      </c>
      <c r="M87" t="s">
        <v>0</v>
      </c>
      <c r="N87" t="s">
        <v>0</v>
      </c>
      <c r="O87" t="s">
        <v>0</v>
      </c>
      <c r="P87" t="s">
        <v>0</v>
      </c>
      <c r="Q87" t="s">
        <v>0</v>
      </c>
      <c r="R87" t="s">
        <v>0</v>
      </c>
      <c r="S87" t="s">
        <v>0</v>
      </c>
    </row>
    <row r="88" spans="1:19" x14ac:dyDescent="0.25">
      <c r="A88">
        <v>86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</row>
    <row r="89" spans="1:19" x14ac:dyDescent="0.25">
      <c r="A89">
        <v>87</v>
      </c>
      <c r="B89" t="s">
        <v>0</v>
      </c>
      <c r="C89" t="s">
        <v>0</v>
      </c>
      <c r="D89" t="s">
        <v>0</v>
      </c>
      <c r="E89" t="s">
        <v>0</v>
      </c>
      <c r="F89" t="s">
        <v>0</v>
      </c>
      <c r="G89" t="s">
        <v>0</v>
      </c>
      <c r="H89" t="s">
        <v>0</v>
      </c>
      <c r="I89" t="s">
        <v>0</v>
      </c>
      <c r="J89" t="s">
        <v>0</v>
      </c>
      <c r="K89" t="s">
        <v>0</v>
      </c>
      <c r="L89" t="s">
        <v>0</v>
      </c>
      <c r="M89" t="s">
        <v>0</v>
      </c>
      <c r="N89" t="s">
        <v>0</v>
      </c>
      <c r="O89" t="s">
        <v>0</v>
      </c>
      <c r="P89" t="s">
        <v>0</v>
      </c>
      <c r="Q89" t="s">
        <v>0</v>
      </c>
      <c r="R89" t="s">
        <v>0</v>
      </c>
      <c r="S89" t="s">
        <v>0</v>
      </c>
    </row>
    <row r="90" spans="1:19" x14ac:dyDescent="0.25">
      <c r="A90">
        <v>88</v>
      </c>
      <c r="B90" t="s">
        <v>0</v>
      </c>
      <c r="C90" t="s">
        <v>0</v>
      </c>
      <c r="D90" t="s">
        <v>0</v>
      </c>
      <c r="E90" t="s">
        <v>0</v>
      </c>
      <c r="F90" t="s">
        <v>0</v>
      </c>
      <c r="G90" t="s">
        <v>0</v>
      </c>
      <c r="H90" t="s">
        <v>0</v>
      </c>
      <c r="I90" t="s">
        <v>0</v>
      </c>
      <c r="J90" t="s">
        <v>0</v>
      </c>
      <c r="K90" t="s">
        <v>0</v>
      </c>
      <c r="L90" t="s">
        <v>0</v>
      </c>
      <c r="M90" t="s">
        <v>0</v>
      </c>
      <c r="N90" t="s">
        <v>0</v>
      </c>
      <c r="O90" t="s">
        <v>0</v>
      </c>
      <c r="P90" t="s">
        <v>0</v>
      </c>
      <c r="Q90" t="s">
        <v>0</v>
      </c>
      <c r="R90" t="s">
        <v>0</v>
      </c>
      <c r="S90" t="s">
        <v>0</v>
      </c>
    </row>
    <row r="91" spans="1:19" x14ac:dyDescent="0.25">
      <c r="A91">
        <v>89</v>
      </c>
      <c r="B91" t="s">
        <v>0</v>
      </c>
      <c r="C91" t="s">
        <v>0</v>
      </c>
      <c r="D91" t="s">
        <v>0</v>
      </c>
      <c r="E91" t="s">
        <v>0</v>
      </c>
      <c r="F91" t="s">
        <v>0</v>
      </c>
      <c r="G91" t="s">
        <v>0</v>
      </c>
      <c r="H91" t="s">
        <v>0</v>
      </c>
      <c r="I91" t="s">
        <v>0</v>
      </c>
      <c r="J91" t="s">
        <v>0</v>
      </c>
      <c r="K91" t="s">
        <v>0</v>
      </c>
      <c r="L91" t="s">
        <v>0</v>
      </c>
      <c r="M91" t="s">
        <v>0</v>
      </c>
      <c r="N91" t="s">
        <v>0</v>
      </c>
      <c r="O91" t="s">
        <v>0</v>
      </c>
      <c r="P91" t="s">
        <v>0</v>
      </c>
      <c r="Q91" t="s">
        <v>0</v>
      </c>
      <c r="R91" t="s">
        <v>0</v>
      </c>
      <c r="S91" t="s">
        <v>0</v>
      </c>
    </row>
    <row r="92" spans="1:19" x14ac:dyDescent="0.25">
      <c r="A92">
        <v>90</v>
      </c>
      <c r="B92" t="s">
        <v>0</v>
      </c>
      <c r="C92" t="s">
        <v>0</v>
      </c>
      <c r="D92" t="s">
        <v>0</v>
      </c>
      <c r="E92" t="s">
        <v>0</v>
      </c>
      <c r="F92" t="s">
        <v>0</v>
      </c>
      <c r="G92" t="s">
        <v>0</v>
      </c>
      <c r="H92" t="s">
        <v>0</v>
      </c>
      <c r="I92" t="s">
        <v>0</v>
      </c>
      <c r="J92" t="s">
        <v>0</v>
      </c>
      <c r="K92" t="s">
        <v>0</v>
      </c>
      <c r="L92" t="s">
        <v>0</v>
      </c>
      <c r="M92" t="s">
        <v>0</v>
      </c>
      <c r="N92" t="s">
        <v>0</v>
      </c>
      <c r="O92" t="s">
        <v>0</v>
      </c>
      <c r="P92" t="s">
        <v>0</v>
      </c>
      <c r="Q92" t="s">
        <v>0</v>
      </c>
      <c r="R92" t="s">
        <v>0</v>
      </c>
      <c r="S92" t="s">
        <v>0</v>
      </c>
    </row>
    <row r="93" spans="1:19" x14ac:dyDescent="0.25">
      <c r="A93">
        <v>91</v>
      </c>
      <c r="B93" t="s">
        <v>0</v>
      </c>
      <c r="C93" t="s">
        <v>0</v>
      </c>
      <c r="D93" t="s">
        <v>0</v>
      </c>
      <c r="E93" t="s">
        <v>0</v>
      </c>
      <c r="F93" t="s">
        <v>0</v>
      </c>
      <c r="G93" t="s">
        <v>0</v>
      </c>
      <c r="H93" t="s">
        <v>0</v>
      </c>
      <c r="I93" t="s">
        <v>0</v>
      </c>
      <c r="J93" t="s">
        <v>0</v>
      </c>
      <c r="K93" t="s">
        <v>0</v>
      </c>
      <c r="L93" t="s">
        <v>0</v>
      </c>
      <c r="M93" t="s">
        <v>0</v>
      </c>
      <c r="N93" t="s">
        <v>0</v>
      </c>
      <c r="O93" t="s">
        <v>0</v>
      </c>
      <c r="P93" t="s">
        <v>0</v>
      </c>
      <c r="Q93" t="s">
        <v>0</v>
      </c>
      <c r="R93" t="s">
        <v>0</v>
      </c>
      <c r="S93" t="s">
        <v>0</v>
      </c>
    </row>
    <row r="94" spans="1:19" x14ac:dyDescent="0.25">
      <c r="A94">
        <v>92</v>
      </c>
      <c r="B94" t="s">
        <v>0</v>
      </c>
      <c r="C94" t="s">
        <v>0</v>
      </c>
      <c r="D94" t="s">
        <v>0</v>
      </c>
      <c r="E94" t="s">
        <v>0</v>
      </c>
      <c r="F94" t="s">
        <v>0</v>
      </c>
      <c r="G94" t="s">
        <v>0</v>
      </c>
      <c r="H94" t="s">
        <v>0</v>
      </c>
      <c r="I94" t="s">
        <v>0</v>
      </c>
      <c r="J94" t="s">
        <v>0</v>
      </c>
      <c r="K94" t="s">
        <v>0</v>
      </c>
      <c r="L94" t="s">
        <v>0</v>
      </c>
      <c r="M94" t="s">
        <v>0</v>
      </c>
      <c r="N94" t="s">
        <v>0</v>
      </c>
      <c r="O94" t="s">
        <v>0</v>
      </c>
      <c r="P94" t="s">
        <v>0</v>
      </c>
      <c r="Q94" t="s">
        <v>0</v>
      </c>
      <c r="R94" t="s">
        <v>0</v>
      </c>
      <c r="S94" t="s">
        <v>0</v>
      </c>
    </row>
    <row r="95" spans="1:19" x14ac:dyDescent="0.25">
      <c r="A95">
        <v>93</v>
      </c>
      <c r="B95" t="s">
        <v>0</v>
      </c>
      <c r="C95" t="s">
        <v>0</v>
      </c>
      <c r="D95" t="s">
        <v>0</v>
      </c>
      <c r="E95" t="s">
        <v>0</v>
      </c>
      <c r="F95" t="s">
        <v>0</v>
      </c>
      <c r="G95" t="s">
        <v>0</v>
      </c>
      <c r="H95" t="s">
        <v>0</v>
      </c>
      <c r="I95" t="s">
        <v>0</v>
      </c>
      <c r="J95" t="s">
        <v>0</v>
      </c>
      <c r="K95" t="s">
        <v>0</v>
      </c>
      <c r="L95" t="s">
        <v>0</v>
      </c>
      <c r="M95" t="s">
        <v>0</v>
      </c>
      <c r="N95" t="s">
        <v>0</v>
      </c>
      <c r="O95" t="s">
        <v>0</v>
      </c>
      <c r="P95" t="s">
        <v>0</v>
      </c>
      <c r="Q95" t="s">
        <v>0</v>
      </c>
      <c r="R95" t="s">
        <v>0</v>
      </c>
      <c r="S95" t="s">
        <v>0</v>
      </c>
    </row>
    <row r="96" spans="1:19" x14ac:dyDescent="0.25">
      <c r="A96">
        <v>94</v>
      </c>
      <c r="B96" t="s">
        <v>0</v>
      </c>
      <c r="C96" t="s">
        <v>0</v>
      </c>
      <c r="D96" t="s">
        <v>0</v>
      </c>
      <c r="E96" t="s">
        <v>0</v>
      </c>
      <c r="F96" t="s">
        <v>0</v>
      </c>
      <c r="G96" t="s">
        <v>0</v>
      </c>
      <c r="H96" t="s">
        <v>0</v>
      </c>
      <c r="I96" t="s">
        <v>0</v>
      </c>
      <c r="J96" t="s">
        <v>0</v>
      </c>
      <c r="K96" t="s">
        <v>0</v>
      </c>
      <c r="L96" t="s">
        <v>0</v>
      </c>
      <c r="M96" t="s">
        <v>0</v>
      </c>
      <c r="N96" t="s">
        <v>0</v>
      </c>
      <c r="O96" t="s">
        <v>0</v>
      </c>
      <c r="P96" t="s">
        <v>0</v>
      </c>
      <c r="Q96" t="s">
        <v>0</v>
      </c>
      <c r="R96" t="s">
        <v>0</v>
      </c>
      <c r="S96" t="s">
        <v>0</v>
      </c>
    </row>
    <row r="97" spans="1:19" x14ac:dyDescent="0.25">
      <c r="A97">
        <v>95</v>
      </c>
      <c r="B97" t="s">
        <v>0</v>
      </c>
      <c r="C97" t="s">
        <v>0</v>
      </c>
      <c r="D97" t="s">
        <v>0</v>
      </c>
      <c r="E97" t="s">
        <v>0</v>
      </c>
      <c r="F97" t="s">
        <v>0</v>
      </c>
      <c r="G97" t="s">
        <v>0</v>
      </c>
      <c r="H97" t="s">
        <v>0</v>
      </c>
      <c r="I97" t="s">
        <v>0</v>
      </c>
      <c r="J97" t="s">
        <v>0</v>
      </c>
      <c r="K97" t="s">
        <v>0</v>
      </c>
      <c r="L97" t="s">
        <v>0</v>
      </c>
      <c r="M97" t="s">
        <v>0</v>
      </c>
      <c r="N97" t="s">
        <v>0</v>
      </c>
      <c r="O97" t="s">
        <v>0</v>
      </c>
      <c r="P97" t="s">
        <v>0</v>
      </c>
      <c r="Q97" t="s">
        <v>0</v>
      </c>
      <c r="R97" t="s">
        <v>0</v>
      </c>
      <c r="S97" t="s">
        <v>0</v>
      </c>
    </row>
  </sheetData>
  <pageMargins left="0.511811024" right="0.511811024" top="0.78740157499999996" bottom="0.78740157499999996" header="0.31496062000000002" footer="0.3149606200000000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E02A-B48B-4829-BBC0-1E62E06D4AE9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73BB8-DF42-471F-AD63-63AEA1F3EBD4}">
  <sheetPr codeName="Planilha5"/>
  <dimension ref="A1:BO99"/>
  <sheetViews>
    <sheetView showGridLines="0" zoomScale="55" zoomScaleNormal="55" workbookViewId="0">
      <selection activeCell="D4" sqref="D4"/>
    </sheetView>
  </sheetViews>
  <sheetFormatPr defaultRowHeight="15" x14ac:dyDescent="0.25"/>
  <cols>
    <col min="3" max="3" width="3" customWidth="1"/>
    <col min="4" max="4" width="3" style="14" customWidth="1"/>
    <col min="5" max="7" width="3" style="10" customWidth="1"/>
    <col min="8" max="8" width="3" style="1" customWidth="1"/>
    <col min="9" max="10" width="3" style="10" customWidth="1"/>
    <col min="11" max="11" width="3" style="2" customWidth="1"/>
    <col min="12" max="12" width="3" style="1" customWidth="1"/>
    <col min="13" max="14" width="3" style="10" customWidth="1"/>
    <col min="15" max="15" width="3" style="2" customWidth="1"/>
    <col min="16" max="18" width="3" style="10" customWidth="1"/>
    <col min="19" max="19" width="3" style="15" customWidth="1"/>
    <col min="20" max="20" width="3" style="14" customWidth="1"/>
    <col min="21" max="23" width="3" style="10" customWidth="1"/>
    <col min="24" max="24" width="3" style="1" customWidth="1"/>
    <col min="25" max="26" width="3" style="10" customWidth="1"/>
    <col min="27" max="27" width="3" style="2" customWidth="1"/>
    <col min="28" max="28" width="3" style="1" customWidth="1"/>
    <col min="29" max="30" width="3" style="10" customWidth="1"/>
    <col min="31" max="31" width="3" style="2" customWidth="1"/>
    <col min="32" max="34" width="3" style="10" customWidth="1"/>
    <col min="35" max="35" width="3" style="15" customWidth="1"/>
    <col min="36" max="36" width="3" style="14" customWidth="1"/>
    <col min="37" max="39" width="3" style="10" customWidth="1"/>
    <col min="40" max="40" width="3" style="1" customWidth="1"/>
    <col min="41" max="42" width="3" style="10" customWidth="1"/>
    <col min="43" max="43" width="3" style="2" customWidth="1"/>
    <col min="44" max="44" width="3" style="1" customWidth="1"/>
    <col min="45" max="46" width="3" style="10" customWidth="1"/>
    <col min="47" max="47" width="3" style="2" customWidth="1"/>
    <col min="48" max="50" width="3" style="10" customWidth="1"/>
    <col min="51" max="51" width="3" style="15" customWidth="1"/>
    <col min="52" max="52" width="3" style="14" customWidth="1"/>
    <col min="53" max="55" width="3" style="10" customWidth="1"/>
    <col min="56" max="56" width="3" style="1" customWidth="1"/>
    <col min="57" max="58" width="3" style="10" customWidth="1"/>
    <col min="59" max="59" width="3" style="2" customWidth="1"/>
    <col min="60" max="60" width="3" style="1" customWidth="1"/>
    <col min="61" max="62" width="3" style="10" customWidth="1"/>
    <col min="63" max="63" width="3" style="2" customWidth="1"/>
    <col min="64" max="66" width="3" style="10" customWidth="1"/>
    <col min="67" max="67" width="3" style="15" customWidth="1"/>
  </cols>
  <sheetData>
    <row r="1" spans="1:67" x14ac:dyDescent="0.25">
      <c r="D1" s="11"/>
      <c r="E1" s="12"/>
      <c r="F1" s="12"/>
      <c r="G1" s="12"/>
      <c r="H1" s="4"/>
      <c r="I1" s="3"/>
      <c r="J1" s="3"/>
      <c r="K1" s="5"/>
      <c r="L1" s="4"/>
      <c r="M1" s="3"/>
      <c r="N1" s="3"/>
      <c r="O1" s="5"/>
      <c r="P1" s="12"/>
      <c r="Q1" s="12"/>
      <c r="R1" s="12"/>
      <c r="S1" s="13"/>
      <c r="T1" s="11"/>
      <c r="U1" s="12"/>
      <c r="V1" s="12"/>
      <c r="W1" s="12"/>
      <c r="X1" s="4"/>
      <c r="Y1" s="3"/>
      <c r="Z1" s="3"/>
      <c r="AA1" s="5"/>
      <c r="AB1" s="4"/>
      <c r="AC1" s="3"/>
      <c r="AD1" s="3"/>
      <c r="AE1" s="5"/>
      <c r="AF1" s="12"/>
      <c r="AG1" s="12"/>
      <c r="AH1" s="12"/>
      <c r="AI1" s="13"/>
      <c r="AJ1" s="11"/>
      <c r="AK1" s="12"/>
      <c r="AL1" s="12"/>
      <c r="AM1" s="12"/>
      <c r="AN1" s="4"/>
      <c r="AO1" s="3"/>
      <c r="AP1" s="3"/>
      <c r="AQ1" s="5"/>
      <c r="AR1" s="4"/>
      <c r="AS1" s="3"/>
      <c r="AT1" s="3"/>
      <c r="AU1" s="5"/>
      <c r="AV1" s="12"/>
      <c r="AW1" s="12"/>
      <c r="AX1" s="12"/>
      <c r="AY1" s="13"/>
      <c r="AZ1" s="11"/>
      <c r="BA1" s="12"/>
      <c r="BB1" s="12"/>
      <c r="BC1" s="12"/>
      <c r="BD1" s="4"/>
      <c r="BE1" s="3"/>
      <c r="BF1" s="3"/>
      <c r="BG1" s="5"/>
      <c r="BH1" s="4"/>
      <c r="BI1" s="3"/>
      <c r="BJ1" s="3"/>
      <c r="BK1" s="5"/>
      <c r="BL1" s="12"/>
      <c r="BM1" s="12"/>
      <c r="BN1" s="12"/>
      <c r="BO1" s="13"/>
    </row>
    <row r="3" spans="1:67" ht="15.75" thickBot="1" x14ac:dyDescent="0.3">
      <c r="D3" s="14">
        <v>1</v>
      </c>
      <c r="E3" s="10">
        <v>2</v>
      </c>
      <c r="F3" s="10">
        <v>3</v>
      </c>
      <c r="G3" s="10">
        <v>4</v>
      </c>
      <c r="H3" s="1">
        <v>5</v>
      </c>
      <c r="I3" s="10">
        <v>6</v>
      </c>
      <c r="J3" s="10">
        <v>7</v>
      </c>
      <c r="K3" s="2">
        <v>8</v>
      </c>
      <c r="L3" s="1">
        <v>9</v>
      </c>
      <c r="M3" s="10">
        <v>10</v>
      </c>
      <c r="N3" s="10">
        <v>11</v>
      </c>
      <c r="O3" s="2">
        <v>12</v>
      </c>
      <c r="P3" s="10">
        <v>13</v>
      </c>
      <c r="Q3" s="10">
        <v>14</v>
      </c>
      <c r="R3" s="10">
        <v>15</v>
      </c>
      <c r="S3" s="15">
        <v>16</v>
      </c>
      <c r="T3" s="14">
        <v>17</v>
      </c>
      <c r="U3" s="10">
        <v>18</v>
      </c>
      <c r="V3" s="10">
        <v>19</v>
      </c>
      <c r="W3" s="10">
        <v>20</v>
      </c>
      <c r="X3" s="1">
        <v>21</v>
      </c>
      <c r="Y3" s="10">
        <v>22</v>
      </c>
      <c r="Z3" s="10">
        <v>23</v>
      </c>
      <c r="AA3" s="2">
        <v>24</v>
      </c>
      <c r="AB3" s="1">
        <v>25</v>
      </c>
      <c r="AC3" s="10">
        <v>26</v>
      </c>
      <c r="AD3" s="10">
        <v>27</v>
      </c>
      <c r="AE3" s="2">
        <v>28</v>
      </c>
      <c r="AF3" s="10">
        <v>29</v>
      </c>
      <c r="AG3" s="10">
        <v>30</v>
      </c>
      <c r="AH3" s="10">
        <v>31</v>
      </c>
      <c r="AI3" s="15">
        <v>32</v>
      </c>
      <c r="AJ3" s="14">
        <v>33</v>
      </c>
      <c r="AK3" s="10">
        <v>34</v>
      </c>
      <c r="AL3" s="10">
        <v>35</v>
      </c>
      <c r="AM3" s="10">
        <v>36</v>
      </c>
      <c r="AN3" s="1">
        <v>37</v>
      </c>
      <c r="AO3" s="10">
        <v>38</v>
      </c>
      <c r="AP3" s="10">
        <v>39</v>
      </c>
      <c r="AQ3" s="2">
        <v>40</v>
      </c>
      <c r="AR3" s="1">
        <v>41</v>
      </c>
      <c r="AS3" s="10">
        <v>42</v>
      </c>
      <c r="AT3" s="10">
        <v>43</v>
      </c>
      <c r="AU3" s="2">
        <v>44</v>
      </c>
      <c r="AV3" s="10">
        <v>45</v>
      </c>
      <c r="AW3" s="10">
        <v>46</v>
      </c>
      <c r="AX3" s="10">
        <v>47</v>
      </c>
      <c r="AY3" s="15">
        <v>48</v>
      </c>
      <c r="AZ3" s="14">
        <v>49</v>
      </c>
      <c r="BA3" s="10">
        <v>50</v>
      </c>
      <c r="BB3" s="10">
        <v>51</v>
      </c>
      <c r="BC3" s="10">
        <v>52</v>
      </c>
      <c r="BD3" s="1">
        <v>53</v>
      </c>
      <c r="BE3" s="10">
        <v>54</v>
      </c>
      <c r="BF3" s="10">
        <v>55</v>
      </c>
      <c r="BG3" s="2">
        <v>56</v>
      </c>
      <c r="BH3" s="1">
        <v>57</v>
      </c>
      <c r="BI3" s="10">
        <v>58</v>
      </c>
      <c r="BJ3" s="10">
        <v>59</v>
      </c>
      <c r="BK3" s="2">
        <v>60</v>
      </c>
      <c r="BL3" s="10">
        <v>61</v>
      </c>
      <c r="BM3" s="10">
        <v>62</v>
      </c>
      <c r="BN3" s="10">
        <v>63</v>
      </c>
      <c r="BO3" s="15">
        <v>64</v>
      </c>
    </row>
    <row r="4" spans="1:67" s="12" customFormat="1" x14ac:dyDescent="0.25">
      <c r="A4" s="11"/>
      <c r="C4" s="12">
        <v>1</v>
      </c>
      <c r="D4" s="11">
        <v>0</v>
      </c>
      <c r="E4" s="12">
        <v>0</v>
      </c>
      <c r="F4" s="12">
        <v>0</v>
      </c>
      <c r="G4" s="12">
        <v>0</v>
      </c>
      <c r="H4" s="20">
        <v>0</v>
      </c>
      <c r="I4" s="12">
        <v>0</v>
      </c>
      <c r="J4" s="12">
        <v>0</v>
      </c>
      <c r="K4" s="21">
        <v>0</v>
      </c>
      <c r="L4" s="20">
        <v>0</v>
      </c>
      <c r="M4" s="12">
        <v>0</v>
      </c>
      <c r="N4" s="12">
        <v>0</v>
      </c>
      <c r="O4" s="21">
        <v>0</v>
      </c>
      <c r="P4" s="12">
        <v>0</v>
      </c>
      <c r="Q4" s="12">
        <v>0</v>
      </c>
      <c r="R4" s="12">
        <v>0</v>
      </c>
      <c r="S4" s="13">
        <v>0</v>
      </c>
      <c r="T4" s="11">
        <v>0</v>
      </c>
      <c r="U4" s="12">
        <v>0</v>
      </c>
      <c r="V4" s="12">
        <v>0</v>
      </c>
      <c r="W4" s="12">
        <v>0</v>
      </c>
      <c r="X4" s="20">
        <v>0</v>
      </c>
      <c r="Y4" s="12">
        <v>0</v>
      </c>
      <c r="Z4" s="12">
        <v>0</v>
      </c>
      <c r="AA4" s="21">
        <v>0</v>
      </c>
      <c r="AB4" s="20">
        <v>0</v>
      </c>
      <c r="AC4" s="12">
        <v>0</v>
      </c>
      <c r="AD4" s="12">
        <v>0</v>
      </c>
      <c r="AE4" s="21">
        <v>0</v>
      </c>
      <c r="AF4" s="12">
        <v>0</v>
      </c>
      <c r="AG4" s="12">
        <v>0</v>
      </c>
      <c r="AH4" s="12">
        <v>0</v>
      </c>
      <c r="AI4" s="13">
        <v>0</v>
      </c>
      <c r="AJ4" s="11">
        <v>0</v>
      </c>
      <c r="AK4" s="12">
        <v>0</v>
      </c>
      <c r="AL4" s="12">
        <v>0</v>
      </c>
      <c r="AM4" s="12">
        <v>0</v>
      </c>
      <c r="AN4" s="20">
        <v>0</v>
      </c>
      <c r="AO4" s="12">
        <v>0</v>
      </c>
      <c r="AP4" s="12">
        <v>0</v>
      </c>
      <c r="AQ4" s="21">
        <v>0</v>
      </c>
      <c r="AR4" s="20">
        <v>0</v>
      </c>
      <c r="AS4" s="12">
        <v>0</v>
      </c>
      <c r="AT4" s="12">
        <v>0</v>
      </c>
      <c r="AU4" s="21">
        <v>0</v>
      </c>
      <c r="AV4" s="12">
        <v>0</v>
      </c>
      <c r="AW4" s="12">
        <v>0</v>
      </c>
      <c r="AX4" s="12">
        <v>0</v>
      </c>
      <c r="AY4" s="13">
        <v>0</v>
      </c>
      <c r="AZ4" s="11">
        <v>0</v>
      </c>
      <c r="BA4" s="12">
        <v>0</v>
      </c>
      <c r="BB4" s="12">
        <v>0</v>
      </c>
      <c r="BC4" s="12">
        <v>0</v>
      </c>
      <c r="BD4" s="20">
        <v>0</v>
      </c>
      <c r="BE4" s="12">
        <v>0</v>
      </c>
      <c r="BF4" s="12">
        <v>0</v>
      </c>
      <c r="BG4" s="21">
        <v>0</v>
      </c>
      <c r="BH4" s="20">
        <v>0</v>
      </c>
      <c r="BI4" s="12">
        <v>0</v>
      </c>
      <c r="BJ4" s="12">
        <v>0</v>
      </c>
      <c r="BK4" s="21">
        <v>0</v>
      </c>
      <c r="BL4" s="12">
        <v>0</v>
      </c>
      <c r="BM4" s="12">
        <v>0</v>
      </c>
      <c r="BN4" s="12">
        <v>0</v>
      </c>
      <c r="BO4" s="13">
        <v>0</v>
      </c>
    </row>
    <row r="5" spans="1:67" s="10" customFormat="1" x14ac:dyDescent="0.25">
      <c r="A5" s="14"/>
      <c r="C5" s="10">
        <v>2</v>
      </c>
      <c r="D5" s="14">
        <v>0</v>
      </c>
      <c r="E5" s="10">
        <v>0</v>
      </c>
      <c r="F5" s="10">
        <v>0</v>
      </c>
      <c r="G5" s="10">
        <v>0</v>
      </c>
      <c r="H5" s="1">
        <v>0</v>
      </c>
      <c r="I5" s="10">
        <v>0</v>
      </c>
      <c r="J5" s="10">
        <v>0</v>
      </c>
      <c r="K5" s="2">
        <v>0</v>
      </c>
      <c r="L5" s="1">
        <v>0</v>
      </c>
      <c r="M5" s="10">
        <v>0</v>
      </c>
      <c r="N5" s="10">
        <v>0</v>
      </c>
      <c r="O5" s="2">
        <v>0</v>
      </c>
      <c r="P5" s="10">
        <v>0</v>
      </c>
      <c r="Q5" s="10">
        <v>0</v>
      </c>
      <c r="R5" s="10">
        <v>0</v>
      </c>
      <c r="S5" s="15">
        <v>0</v>
      </c>
      <c r="T5" s="14">
        <v>0</v>
      </c>
      <c r="U5" s="10">
        <v>0</v>
      </c>
      <c r="V5" s="10">
        <v>0</v>
      </c>
      <c r="W5" s="10">
        <v>0</v>
      </c>
      <c r="X5" s="1">
        <v>0</v>
      </c>
      <c r="Y5" s="10">
        <v>0</v>
      </c>
      <c r="Z5" s="10">
        <v>0</v>
      </c>
      <c r="AA5" s="2">
        <v>0</v>
      </c>
      <c r="AB5" s="1">
        <v>0</v>
      </c>
      <c r="AC5" s="10">
        <v>0</v>
      </c>
      <c r="AD5" s="10">
        <v>0</v>
      </c>
      <c r="AE5" s="2">
        <v>0</v>
      </c>
      <c r="AF5" s="10">
        <v>0</v>
      </c>
      <c r="AG5" s="10">
        <v>0</v>
      </c>
      <c r="AH5" s="10">
        <v>0</v>
      </c>
      <c r="AI5" s="15">
        <v>0</v>
      </c>
      <c r="AJ5" s="14">
        <v>0</v>
      </c>
      <c r="AK5" s="10">
        <v>0</v>
      </c>
      <c r="AL5" s="10">
        <v>0</v>
      </c>
      <c r="AM5" s="10">
        <v>0</v>
      </c>
      <c r="AN5" s="1">
        <v>0</v>
      </c>
      <c r="AO5" s="10">
        <v>0</v>
      </c>
      <c r="AP5" s="10">
        <v>0</v>
      </c>
      <c r="AQ5" s="2">
        <v>0</v>
      </c>
      <c r="AR5" s="1">
        <v>0</v>
      </c>
      <c r="AS5" s="10">
        <v>0</v>
      </c>
      <c r="AT5" s="10">
        <v>0</v>
      </c>
      <c r="AU5" s="2">
        <v>0</v>
      </c>
      <c r="AV5" s="10">
        <v>0</v>
      </c>
      <c r="AW5" s="10">
        <v>0</v>
      </c>
      <c r="AX5" s="10">
        <v>0</v>
      </c>
      <c r="AY5" s="15">
        <v>0</v>
      </c>
      <c r="AZ5" s="14">
        <v>0</v>
      </c>
      <c r="BA5" s="10">
        <v>0</v>
      </c>
      <c r="BB5" s="10">
        <v>0</v>
      </c>
      <c r="BC5" s="10">
        <v>0</v>
      </c>
      <c r="BD5" s="1">
        <v>0</v>
      </c>
      <c r="BE5" s="10">
        <v>0</v>
      </c>
      <c r="BF5" s="10">
        <v>0</v>
      </c>
      <c r="BG5" s="2">
        <v>0</v>
      </c>
      <c r="BH5" s="1">
        <v>0</v>
      </c>
      <c r="BI5" s="10">
        <v>0</v>
      </c>
      <c r="BJ5" s="10">
        <v>0</v>
      </c>
      <c r="BK5" s="2">
        <v>0</v>
      </c>
      <c r="BL5" s="10">
        <v>0</v>
      </c>
      <c r="BM5" s="10">
        <v>0</v>
      </c>
      <c r="BN5" s="10">
        <v>0</v>
      </c>
      <c r="BO5" s="15">
        <v>0</v>
      </c>
    </row>
    <row r="6" spans="1:67" s="10" customFormat="1" x14ac:dyDescent="0.25">
      <c r="A6" s="14"/>
      <c r="C6" s="10">
        <v>3</v>
      </c>
      <c r="D6" s="14">
        <v>0</v>
      </c>
      <c r="E6" s="10">
        <v>0</v>
      </c>
      <c r="F6" s="10">
        <v>0</v>
      </c>
      <c r="G6" s="10">
        <v>0</v>
      </c>
      <c r="H6" s="1">
        <v>0</v>
      </c>
      <c r="I6" s="10">
        <v>0</v>
      </c>
      <c r="J6" s="10">
        <v>0</v>
      </c>
      <c r="K6" s="2">
        <v>0</v>
      </c>
      <c r="L6" s="1">
        <v>0</v>
      </c>
      <c r="M6" s="10">
        <v>0</v>
      </c>
      <c r="N6" s="10">
        <v>0</v>
      </c>
      <c r="O6" s="2">
        <v>0</v>
      </c>
      <c r="P6" s="10">
        <v>0</v>
      </c>
      <c r="Q6" s="10">
        <v>0</v>
      </c>
      <c r="R6" s="10">
        <v>0</v>
      </c>
      <c r="S6" s="15">
        <v>0</v>
      </c>
      <c r="T6" s="14">
        <v>0</v>
      </c>
      <c r="U6" s="10">
        <v>0</v>
      </c>
      <c r="V6" s="10">
        <v>0</v>
      </c>
      <c r="W6" s="10">
        <v>0</v>
      </c>
      <c r="X6" s="1">
        <v>0</v>
      </c>
      <c r="Y6" s="10">
        <v>0</v>
      </c>
      <c r="Z6" s="10">
        <v>0</v>
      </c>
      <c r="AA6" s="2">
        <v>0</v>
      </c>
      <c r="AB6" s="1">
        <v>0</v>
      </c>
      <c r="AC6" s="10">
        <v>0</v>
      </c>
      <c r="AD6" s="10">
        <v>0</v>
      </c>
      <c r="AE6" s="2">
        <v>0</v>
      </c>
      <c r="AF6" s="10">
        <v>0</v>
      </c>
      <c r="AG6" s="10">
        <v>0</v>
      </c>
      <c r="AH6" s="10">
        <v>0</v>
      </c>
      <c r="AI6" s="15">
        <v>0</v>
      </c>
      <c r="AJ6" s="14">
        <v>0</v>
      </c>
      <c r="AK6" s="10">
        <v>0</v>
      </c>
      <c r="AL6" s="10">
        <v>0</v>
      </c>
      <c r="AM6" s="10">
        <v>0</v>
      </c>
      <c r="AN6" s="1">
        <v>0</v>
      </c>
      <c r="AO6" s="10">
        <v>0</v>
      </c>
      <c r="AP6" s="10">
        <v>0</v>
      </c>
      <c r="AQ6" s="2">
        <v>0</v>
      </c>
      <c r="AR6" s="1">
        <v>0</v>
      </c>
      <c r="AS6" s="10">
        <v>0</v>
      </c>
      <c r="AT6" s="10">
        <v>0</v>
      </c>
      <c r="AU6" s="2">
        <v>0</v>
      </c>
      <c r="AV6" s="10">
        <v>0</v>
      </c>
      <c r="AW6" s="10">
        <v>0</v>
      </c>
      <c r="AX6" s="10">
        <v>0</v>
      </c>
      <c r="AY6" s="15">
        <v>0</v>
      </c>
      <c r="AZ6" s="14">
        <v>0</v>
      </c>
      <c r="BA6" s="10">
        <v>0</v>
      </c>
      <c r="BB6" s="10">
        <v>0</v>
      </c>
      <c r="BC6" s="10">
        <v>0</v>
      </c>
      <c r="BD6" s="1">
        <v>0</v>
      </c>
      <c r="BE6" s="10">
        <v>0</v>
      </c>
      <c r="BF6" s="10">
        <v>0</v>
      </c>
      <c r="BG6" s="2">
        <v>0</v>
      </c>
      <c r="BH6" s="1">
        <v>0</v>
      </c>
      <c r="BI6" s="10">
        <v>0</v>
      </c>
      <c r="BJ6" s="10">
        <v>0</v>
      </c>
      <c r="BK6" s="2">
        <v>0</v>
      </c>
      <c r="BL6" s="10">
        <v>0</v>
      </c>
      <c r="BM6" s="10">
        <v>0</v>
      </c>
      <c r="BN6" s="10">
        <v>0</v>
      </c>
      <c r="BO6" s="15">
        <v>0</v>
      </c>
    </row>
    <row r="7" spans="1:67" s="10" customFormat="1" x14ac:dyDescent="0.25">
      <c r="A7" s="14"/>
      <c r="C7" s="10">
        <v>4</v>
      </c>
      <c r="D7" s="14">
        <v>0</v>
      </c>
      <c r="E7" s="10">
        <v>0</v>
      </c>
      <c r="F7" s="10">
        <v>0</v>
      </c>
      <c r="G7" s="10">
        <v>0</v>
      </c>
      <c r="H7" s="1">
        <v>0</v>
      </c>
      <c r="I7" s="10">
        <v>0</v>
      </c>
      <c r="J7" s="10">
        <v>0</v>
      </c>
      <c r="K7" s="2">
        <v>0</v>
      </c>
      <c r="L7" s="1">
        <v>0</v>
      </c>
      <c r="M7" s="10">
        <v>0</v>
      </c>
      <c r="N7" s="10">
        <v>0</v>
      </c>
      <c r="O7" s="2">
        <v>0</v>
      </c>
      <c r="P7" s="10">
        <v>0</v>
      </c>
      <c r="Q7" s="10">
        <v>0</v>
      </c>
      <c r="R7" s="10">
        <v>0</v>
      </c>
      <c r="S7" s="15">
        <v>0</v>
      </c>
      <c r="T7" s="14">
        <v>0</v>
      </c>
      <c r="U7" s="10">
        <v>0</v>
      </c>
      <c r="V7" s="10">
        <v>0</v>
      </c>
      <c r="W7" s="10">
        <v>0</v>
      </c>
      <c r="X7" s="1">
        <v>0</v>
      </c>
      <c r="Y7" s="10">
        <v>0</v>
      </c>
      <c r="Z7" s="10">
        <v>0</v>
      </c>
      <c r="AA7" s="2">
        <v>0</v>
      </c>
      <c r="AB7" s="1">
        <v>0</v>
      </c>
      <c r="AC7" s="10">
        <v>0</v>
      </c>
      <c r="AD7" s="10">
        <v>0</v>
      </c>
      <c r="AE7" s="2">
        <v>0</v>
      </c>
      <c r="AF7" s="10">
        <v>0</v>
      </c>
      <c r="AG7" s="10">
        <v>0</v>
      </c>
      <c r="AH7" s="10">
        <v>0</v>
      </c>
      <c r="AI7" s="15">
        <v>0</v>
      </c>
      <c r="AJ7" s="14">
        <v>0</v>
      </c>
      <c r="AK7" s="10">
        <v>0</v>
      </c>
      <c r="AL7" s="10">
        <v>0</v>
      </c>
      <c r="AM7" s="10">
        <v>0</v>
      </c>
      <c r="AN7" s="1">
        <v>0</v>
      </c>
      <c r="AO7" s="10">
        <v>0</v>
      </c>
      <c r="AP7" s="10">
        <v>0</v>
      </c>
      <c r="AQ7" s="2">
        <v>0</v>
      </c>
      <c r="AR7" s="1">
        <v>0</v>
      </c>
      <c r="AS7" s="10">
        <v>0</v>
      </c>
      <c r="AT7" s="10">
        <v>0</v>
      </c>
      <c r="AU7" s="2">
        <v>0</v>
      </c>
      <c r="AV7" s="10">
        <v>0</v>
      </c>
      <c r="AW7" s="10">
        <v>0</v>
      </c>
      <c r="AX7" s="10">
        <v>0</v>
      </c>
      <c r="AY7" s="15">
        <v>0</v>
      </c>
      <c r="AZ7" s="14">
        <v>0</v>
      </c>
      <c r="BA7" s="10">
        <v>0</v>
      </c>
      <c r="BB7" s="10">
        <v>0</v>
      </c>
      <c r="BC7" s="10">
        <v>0</v>
      </c>
      <c r="BD7" s="1">
        <v>0</v>
      </c>
      <c r="BE7" s="10">
        <v>0</v>
      </c>
      <c r="BF7" s="10">
        <v>0</v>
      </c>
      <c r="BG7" s="2">
        <v>0</v>
      </c>
      <c r="BH7" s="1">
        <v>0</v>
      </c>
      <c r="BI7" s="10">
        <v>0</v>
      </c>
      <c r="BJ7" s="10">
        <v>0</v>
      </c>
      <c r="BK7" s="2">
        <v>0</v>
      </c>
      <c r="BL7" s="10">
        <v>0</v>
      </c>
      <c r="BM7" s="10">
        <v>0</v>
      </c>
      <c r="BN7" s="10">
        <v>0</v>
      </c>
      <c r="BO7" s="15">
        <v>0</v>
      </c>
    </row>
    <row r="8" spans="1:67" s="3" customFormat="1" x14ac:dyDescent="0.25">
      <c r="A8" s="16"/>
      <c r="C8" s="3">
        <v>5</v>
      </c>
      <c r="D8" s="16">
        <v>0</v>
      </c>
      <c r="E8" s="3">
        <v>0</v>
      </c>
      <c r="F8" s="3">
        <v>0</v>
      </c>
      <c r="G8" s="3">
        <v>0</v>
      </c>
      <c r="H8" s="4">
        <v>0</v>
      </c>
      <c r="I8" s="3">
        <v>0</v>
      </c>
      <c r="J8" s="3">
        <v>0</v>
      </c>
      <c r="K8" s="5">
        <v>0</v>
      </c>
      <c r="L8" s="4">
        <v>0</v>
      </c>
      <c r="M8" s="3">
        <v>0</v>
      </c>
      <c r="N8" s="3">
        <v>0</v>
      </c>
      <c r="O8" s="5">
        <v>0</v>
      </c>
      <c r="P8" s="3">
        <v>0</v>
      </c>
      <c r="Q8" s="3">
        <v>0</v>
      </c>
      <c r="R8" s="3">
        <v>0</v>
      </c>
      <c r="S8" s="17">
        <v>0</v>
      </c>
      <c r="T8" s="16">
        <v>0</v>
      </c>
      <c r="U8" s="3">
        <v>0</v>
      </c>
      <c r="V8" s="3">
        <v>0</v>
      </c>
      <c r="W8" s="3">
        <v>0</v>
      </c>
      <c r="X8" s="4">
        <v>0</v>
      </c>
      <c r="Y8" s="3">
        <v>0</v>
      </c>
      <c r="Z8" s="3">
        <v>0</v>
      </c>
      <c r="AA8" s="5">
        <v>0</v>
      </c>
      <c r="AB8" s="4">
        <v>0</v>
      </c>
      <c r="AC8" s="3">
        <v>0</v>
      </c>
      <c r="AD8" s="3">
        <v>0</v>
      </c>
      <c r="AE8" s="5">
        <v>0</v>
      </c>
      <c r="AF8" s="3">
        <v>0</v>
      </c>
      <c r="AG8" s="3">
        <v>0</v>
      </c>
      <c r="AH8" s="3">
        <v>0</v>
      </c>
      <c r="AI8" s="17">
        <v>0</v>
      </c>
      <c r="AJ8" s="16">
        <v>0</v>
      </c>
      <c r="AK8" s="3">
        <v>0</v>
      </c>
      <c r="AL8" s="3">
        <v>0</v>
      </c>
      <c r="AM8" s="3">
        <v>0</v>
      </c>
      <c r="AN8" s="4">
        <v>0</v>
      </c>
      <c r="AO8" s="3">
        <v>0</v>
      </c>
      <c r="AP8" s="3">
        <v>0</v>
      </c>
      <c r="AQ8" s="5">
        <v>0</v>
      </c>
      <c r="AR8" s="4">
        <v>0</v>
      </c>
      <c r="AS8" s="3">
        <v>0</v>
      </c>
      <c r="AT8" s="3">
        <v>0</v>
      </c>
      <c r="AU8" s="5">
        <v>0</v>
      </c>
      <c r="AV8" s="3">
        <v>0</v>
      </c>
      <c r="AW8" s="3">
        <v>0</v>
      </c>
      <c r="AX8" s="3">
        <v>0</v>
      </c>
      <c r="AY8" s="17">
        <v>0</v>
      </c>
      <c r="AZ8" s="16">
        <v>0</v>
      </c>
      <c r="BA8" s="3">
        <v>0</v>
      </c>
      <c r="BB8" s="3">
        <v>0</v>
      </c>
      <c r="BC8" s="3">
        <v>0</v>
      </c>
      <c r="BD8" s="4">
        <v>0</v>
      </c>
      <c r="BE8" s="3">
        <v>0</v>
      </c>
      <c r="BF8" s="3">
        <v>0</v>
      </c>
      <c r="BG8" s="5">
        <v>0</v>
      </c>
      <c r="BH8" s="4">
        <v>0</v>
      </c>
      <c r="BI8" s="3">
        <v>0</v>
      </c>
      <c r="BJ8" s="3">
        <v>0</v>
      </c>
      <c r="BK8" s="5">
        <v>0</v>
      </c>
      <c r="BL8" s="3">
        <v>0</v>
      </c>
      <c r="BM8" s="3">
        <v>0</v>
      </c>
      <c r="BN8" s="3">
        <v>0</v>
      </c>
      <c r="BO8" s="17">
        <v>0</v>
      </c>
    </row>
    <row r="9" spans="1:67" s="10" customFormat="1" x14ac:dyDescent="0.25">
      <c r="A9" s="14"/>
      <c r="C9" s="10">
        <v>6</v>
      </c>
      <c r="D9" s="14">
        <v>0</v>
      </c>
      <c r="E9" s="10">
        <v>0</v>
      </c>
      <c r="F9" s="10">
        <v>0</v>
      </c>
      <c r="G9" s="10">
        <v>0</v>
      </c>
      <c r="H9" s="1">
        <v>0</v>
      </c>
      <c r="I9" s="10">
        <v>0</v>
      </c>
      <c r="J9" s="10">
        <v>0</v>
      </c>
      <c r="K9" s="2">
        <v>0</v>
      </c>
      <c r="L9" s="1">
        <v>0</v>
      </c>
      <c r="M9" s="10">
        <v>0</v>
      </c>
      <c r="N9" s="10">
        <v>0</v>
      </c>
      <c r="O9" s="2">
        <v>0</v>
      </c>
      <c r="P9" s="10">
        <v>0</v>
      </c>
      <c r="Q9" s="10">
        <v>0</v>
      </c>
      <c r="R9" s="10">
        <v>0</v>
      </c>
      <c r="S9" s="15">
        <v>0</v>
      </c>
      <c r="T9" s="14">
        <v>0</v>
      </c>
      <c r="U9" s="10">
        <v>0</v>
      </c>
      <c r="V9" s="10">
        <v>0</v>
      </c>
      <c r="W9" s="10">
        <v>0</v>
      </c>
      <c r="X9" s="1">
        <v>0</v>
      </c>
      <c r="Y9" s="10">
        <v>0</v>
      </c>
      <c r="Z9" s="10">
        <v>0</v>
      </c>
      <c r="AA9" s="2">
        <v>0</v>
      </c>
      <c r="AB9" s="1">
        <v>0</v>
      </c>
      <c r="AC9" s="10">
        <v>0</v>
      </c>
      <c r="AD9" s="10">
        <v>0</v>
      </c>
      <c r="AE9" s="2">
        <v>0</v>
      </c>
      <c r="AF9" s="10">
        <v>0</v>
      </c>
      <c r="AG9" s="10">
        <v>0</v>
      </c>
      <c r="AH9" s="10">
        <v>0</v>
      </c>
      <c r="AI9" s="15">
        <v>0</v>
      </c>
      <c r="AJ9" s="14">
        <v>0</v>
      </c>
      <c r="AK9" s="10">
        <v>0</v>
      </c>
      <c r="AL9" s="10">
        <v>0</v>
      </c>
      <c r="AM9" s="10">
        <v>0</v>
      </c>
      <c r="AN9" s="1">
        <v>0</v>
      </c>
      <c r="AO9" s="10">
        <v>0</v>
      </c>
      <c r="AP9" s="10">
        <v>0</v>
      </c>
      <c r="AQ9" s="2">
        <v>0</v>
      </c>
      <c r="AR9" s="1">
        <v>0</v>
      </c>
      <c r="AS9" s="10">
        <v>0</v>
      </c>
      <c r="AT9" s="10">
        <v>0</v>
      </c>
      <c r="AU9" s="2">
        <v>0</v>
      </c>
      <c r="AV9" s="10">
        <v>0</v>
      </c>
      <c r="AW9" s="10">
        <v>0</v>
      </c>
      <c r="AX9" s="10">
        <v>0</v>
      </c>
      <c r="AY9" s="15">
        <v>0</v>
      </c>
      <c r="AZ9" s="14">
        <v>0</v>
      </c>
      <c r="BA9" s="10">
        <v>0</v>
      </c>
      <c r="BB9" s="10">
        <v>0</v>
      </c>
      <c r="BC9" s="10">
        <v>0</v>
      </c>
      <c r="BD9" s="1">
        <v>0</v>
      </c>
      <c r="BE9" s="10">
        <v>0</v>
      </c>
      <c r="BF9" s="10">
        <v>0</v>
      </c>
      <c r="BG9" s="2">
        <v>0</v>
      </c>
      <c r="BH9" s="1">
        <v>0</v>
      </c>
      <c r="BI9" s="10">
        <v>0</v>
      </c>
      <c r="BJ9" s="10">
        <v>0</v>
      </c>
      <c r="BK9" s="2">
        <v>0</v>
      </c>
      <c r="BL9" s="10">
        <v>0</v>
      </c>
      <c r="BM9" s="10">
        <v>0</v>
      </c>
      <c r="BN9" s="10">
        <v>0</v>
      </c>
      <c r="BO9" s="15">
        <v>0</v>
      </c>
    </row>
    <row r="10" spans="1:67" s="10" customFormat="1" x14ac:dyDescent="0.25">
      <c r="A10" s="14"/>
      <c r="C10" s="10">
        <v>7</v>
      </c>
      <c r="D10" s="14">
        <v>0</v>
      </c>
      <c r="E10" s="10">
        <v>0</v>
      </c>
      <c r="F10" s="10">
        <v>0</v>
      </c>
      <c r="G10" s="10">
        <v>0</v>
      </c>
      <c r="H10" s="1">
        <v>0</v>
      </c>
      <c r="I10" s="10">
        <v>0</v>
      </c>
      <c r="J10" s="10">
        <v>0</v>
      </c>
      <c r="K10" s="2">
        <v>0</v>
      </c>
      <c r="L10" s="1">
        <v>0</v>
      </c>
      <c r="M10" s="10">
        <v>0</v>
      </c>
      <c r="N10" s="10">
        <v>0</v>
      </c>
      <c r="O10" s="2">
        <v>0</v>
      </c>
      <c r="P10" s="10">
        <v>0</v>
      </c>
      <c r="Q10" s="10">
        <v>0</v>
      </c>
      <c r="R10" s="10">
        <v>0</v>
      </c>
      <c r="S10" s="15">
        <v>0</v>
      </c>
      <c r="T10" s="14">
        <v>0</v>
      </c>
      <c r="U10" s="10">
        <v>0</v>
      </c>
      <c r="V10" s="10">
        <v>0</v>
      </c>
      <c r="W10" s="10">
        <v>0</v>
      </c>
      <c r="X10" s="1">
        <v>0</v>
      </c>
      <c r="Y10" s="10">
        <v>0</v>
      </c>
      <c r="Z10" s="10">
        <v>0</v>
      </c>
      <c r="AA10" s="2">
        <v>0</v>
      </c>
      <c r="AB10" s="1">
        <v>0</v>
      </c>
      <c r="AC10" s="10">
        <v>0</v>
      </c>
      <c r="AD10" s="10">
        <v>0</v>
      </c>
      <c r="AE10" s="2">
        <v>0</v>
      </c>
      <c r="AF10" s="10">
        <v>0</v>
      </c>
      <c r="AG10" s="10">
        <v>0</v>
      </c>
      <c r="AH10" s="10">
        <v>0</v>
      </c>
      <c r="AI10" s="15">
        <v>0</v>
      </c>
      <c r="AJ10" s="14">
        <v>0</v>
      </c>
      <c r="AK10" s="10">
        <v>0</v>
      </c>
      <c r="AL10" s="10">
        <v>0</v>
      </c>
      <c r="AM10" s="10">
        <v>0</v>
      </c>
      <c r="AN10" s="1">
        <v>0</v>
      </c>
      <c r="AO10" s="10">
        <v>0</v>
      </c>
      <c r="AP10" s="10">
        <v>0</v>
      </c>
      <c r="AQ10" s="2">
        <v>0</v>
      </c>
      <c r="AR10" s="1">
        <v>0</v>
      </c>
      <c r="AS10" s="10">
        <v>0</v>
      </c>
      <c r="AT10" s="10">
        <v>0</v>
      </c>
      <c r="AU10" s="2">
        <v>0</v>
      </c>
      <c r="AV10" s="10">
        <v>0</v>
      </c>
      <c r="AW10" s="10">
        <v>0</v>
      </c>
      <c r="AX10" s="10">
        <v>0</v>
      </c>
      <c r="AY10" s="15">
        <v>0</v>
      </c>
      <c r="AZ10" s="14">
        <v>0</v>
      </c>
      <c r="BA10" s="10">
        <v>0</v>
      </c>
      <c r="BB10" s="10">
        <v>0</v>
      </c>
      <c r="BC10" s="10">
        <v>0</v>
      </c>
      <c r="BD10" s="1">
        <v>0</v>
      </c>
      <c r="BE10" s="10">
        <v>0</v>
      </c>
      <c r="BF10" s="10">
        <v>0</v>
      </c>
      <c r="BG10" s="2">
        <v>0</v>
      </c>
      <c r="BH10" s="1">
        <v>0</v>
      </c>
      <c r="BI10" s="10">
        <v>0</v>
      </c>
      <c r="BJ10" s="10">
        <v>0</v>
      </c>
      <c r="BK10" s="2">
        <v>0</v>
      </c>
      <c r="BL10" s="10">
        <v>0</v>
      </c>
      <c r="BM10" s="10">
        <v>0</v>
      </c>
      <c r="BN10" s="10">
        <v>0</v>
      </c>
      <c r="BO10" s="15">
        <v>0</v>
      </c>
    </row>
    <row r="11" spans="1:67" s="6" customFormat="1" x14ac:dyDescent="0.25">
      <c r="A11" s="18"/>
      <c r="C11" s="6">
        <v>8</v>
      </c>
      <c r="D11" s="18">
        <v>0</v>
      </c>
      <c r="E11" s="6">
        <v>0</v>
      </c>
      <c r="F11" s="6">
        <v>0</v>
      </c>
      <c r="G11" s="6">
        <v>0</v>
      </c>
      <c r="H11" s="7">
        <v>0</v>
      </c>
      <c r="I11" s="6">
        <v>0</v>
      </c>
      <c r="J11" s="6">
        <v>0</v>
      </c>
      <c r="K11" s="8">
        <v>0</v>
      </c>
      <c r="L11" s="7">
        <v>0</v>
      </c>
      <c r="M11" s="6">
        <v>0</v>
      </c>
      <c r="N11" s="6">
        <v>0</v>
      </c>
      <c r="O11" s="8">
        <v>0</v>
      </c>
      <c r="P11" s="6">
        <v>0</v>
      </c>
      <c r="Q11" s="6">
        <v>0</v>
      </c>
      <c r="R11" s="6">
        <v>0</v>
      </c>
      <c r="S11" s="19">
        <v>0</v>
      </c>
      <c r="T11" s="18">
        <v>0</v>
      </c>
      <c r="U11" s="6">
        <v>0</v>
      </c>
      <c r="V11" s="6">
        <v>0</v>
      </c>
      <c r="W11" s="6">
        <v>0</v>
      </c>
      <c r="X11" s="7">
        <v>0</v>
      </c>
      <c r="Y11" s="6">
        <v>0</v>
      </c>
      <c r="Z11" s="6">
        <v>0</v>
      </c>
      <c r="AA11" s="8">
        <v>0</v>
      </c>
      <c r="AB11" s="7">
        <v>0</v>
      </c>
      <c r="AC11" s="6">
        <v>0</v>
      </c>
      <c r="AD11" s="6">
        <v>0</v>
      </c>
      <c r="AE11" s="8">
        <v>0</v>
      </c>
      <c r="AF11" s="6">
        <v>0</v>
      </c>
      <c r="AG11" s="6">
        <v>0</v>
      </c>
      <c r="AH11" s="6">
        <v>0</v>
      </c>
      <c r="AI11" s="19">
        <v>0</v>
      </c>
      <c r="AJ11" s="18">
        <v>0</v>
      </c>
      <c r="AK11" s="6">
        <v>0</v>
      </c>
      <c r="AL11" s="6">
        <v>0</v>
      </c>
      <c r="AM11" s="6">
        <v>0</v>
      </c>
      <c r="AN11" s="7">
        <v>0</v>
      </c>
      <c r="AO11" s="6">
        <v>0</v>
      </c>
      <c r="AP11" s="6">
        <v>0</v>
      </c>
      <c r="AQ11" s="8">
        <v>0</v>
      </c>
      <c r="AR11" s="7">
        <v>0</v>
      </c>
      <c r="AS11" s="6">
        <v>0</v>
      </c>
      <c r="AT11" s="6">
        <v>0</v>
      </c>
      <c r="AU11" s="8">
        <v>0</v>
      </c>
      <c r="AV11" s="6">
        <v>0</v>
      </c>
      <c r="AW11" s="6">
        <v>0</v>
      </c>
      <c r="AX11" s="6">
        <v>0</v>
      </c>
      <c r="AY11" s="19">
        <v>0</v>
      </c>
      <c r="AZ11" s="18">
        <v>0</v>
      </c>
      <c r="BA11" s="6">
        <v>0</v>
      </c>
      <c r="BB11" s="6">
        <v>0</v>
      </c>
      <c r="BC11" s="6">
        <v>0</v>
      </c>
      <c r="BD11" s="7">
        <v>0</v>
      </c>
      <c r="BE11" s="6">
        <v>0</v>
      </c>
      <c r="BF11" s="6">
        <v>0</v>
      </c>
      <c r="BG11" s="8">
        <v>0</v>
      </c>
      <c r="BH11" s="7">
        <v>0</v>
      </c>
      <c r="BI11" s="6">
        <v>0</v>
      </c>
      <c r="BJ11" s="6">
        <v>0</v>
      </c>
      <c r="BK11" s="8">
        <v>0</v>
      </c>
      <c r="BL11" s="6">
        <v>0</v>
      </c>
      <c r="BM11" s="6">
        <v>0</v>
      </c>
      <c r="BN11" s="6">
        <v>0</v>
      </c>
      <c r="BO11" s="19">
        <v>0</v>
      </c>
    </row>
    <row r="12" spans="1:67" s="3" customFormat="1" x14ac:dyDescent="0.25">
      <c r="A12" s="16"/>
      <c r="C12" s="3">
        <v>9</v>
      </c>
      <c r="D12" s="16">
        <v>0</v>
      </c>
      <c r="E12" s="3">
        <v>0</v>
      </c>
      <c r="F12" s="3">
        <v>0</v>
      </c>
      <c r="G12" s="3">
        <v>0</v>
      </c>
      <c r="H12" s="4">
        <v>0</v>
      </c>
      <c r="I12" s="3">
        <v>0</v>
      </c>
      <c r="J12" s="3">
        <v>0</v>
      </c>
      <c r="K12" s="5">
        <v>0</v>
      </c>
      <c r="L12" s="4">
        <v>0</v>
      </c>
      <c r="M12" s="3">
        <v>0</v>
      </c>
      <c r="N12" s="3">
        <v>0</v>
      </c>
      <c r="O12" s="5">
        <v>0</v>
      </c>
      <c r="P12" s="3">
        <v>0</v>
      </c>
      <c r="Q12" s="3">
        <v>0</v>
      </c>
      <c r="R12" s="3">
        <v>0</v>
      </c>
      <c r="S12" s="17">
        <v>0</v>
      </c>
      <c r="T12" s="16">
        <v>0</v>
      </c>
      <c r="U12" s="3">
        <v>0</v>
      </c>
      <c r="V12" s="3">
        <v>0</v>
      </c>
      <c r="W12" s="3">
        <v>0</v>
      </c>
      <c r="X12" s="4">
        <v>0</v>
      </c>
      <c r="Y12" s="3">
        <v>0</v>
      </c>
      <c r="Z12" s="3">
        <v>0</v>
      </c>
      <c r="AA12" s="5">
        <v>0</v>
      </c>
      <c r="AB12" s="4">
        <v>0</v>
      </c>
      <c r="AC12" s="3">
        <v>0</v>
      </c>
      <c r="AD12" s="3">
        <v>0</v>
      </c>
      <c r="AE12" s="5">
        <v>0</v>
      </c>
      <c r="AF12" s="3">
        <v>0</v>
      </c>
      <c r="AG12" s="3">
        <v>0</v>
      </c>
      <c r="AH12" s="3">
        <v>0</v>
      </c>
      <c r="AI12" s="17">
        <v>0</v>
      </c>
      <c r="AJ12" s="16">
        <v>0</v>
      </c>
      <c r="AK12" s="3">
        <v>0</v>
      </c>
      <c r="AL12" s="3">
        <v>0</v>
      </c>
      <c r="AM12" s="3">
        <v>0</v>
      </c>
      <c r="AN12" s="4">
        <v>0</v>
      </c>
      <c r="AO12" s="3">
        <v>0</v>
      </c>
      <c r="AP12" s="3">
        <v>0</v>
      </c>
      <c r="AQ12" s="5">
        <v>0</v>
      </c>
      <c r="AR12" s="4">
        <v>0</v>
      </c>
      <c r="AS12" s="3">
        <v>0</v>
      </c>
      <c r="AT12" s="3">
        <v>0</v>
      </c>
      <c r="AU12" s="5">
        <v>0</v>
      </c>
      <c r="AV12" s="3">
        <v>0</v>
      </c>
      <c r="AW12" s="3">
        <v>0</v>
      </c>
      <c r="AX12" s="3">
        <v>0</v>
      </c>
      <c r="AY12" s="17">
        <v>0</v>
      </c>
      <c r="AZ12" s="16">
        <v>0</v>
      </c>
      <c r="BA12" s="3">
        <v>0</v>
      </c>
      <c r="BB12" s="3">
        <v>0</v>
      </c>
      <c r="BC12" s="3">
        <v>0</v>
      </c>
      <c r="BD12" s="4">
        <v>0</v>
      </c>
      <c r="BE12" s="3">
        <v>0</v>
      </c>
      <c r="BF12" s="3">
        <v>0</v>
      </c>
      <c r="BG12" s="5">
        <v>0</v>
      </c>
      <c r="BH12" s="4">
        <v>0</v>
      </c>
      <c r="BI12" s="3">
        <v>0</v>
      </c>
      <c r="BJ12" s="3">
        <v>0</v>
      </c>
      <c r="BK12" s="5">
        <v>0</v>
      </c>
      <c r="BL12" s="3">
        <v>0</v>
      </c>
      <c r="BM12" s="3">
        <v>0</v>
      </c>
      <c r="BN12" s="3">
        <v>0</v>
      </c>
      <c r="BO12" s="17">
        <v>0</v>
      </c>
    </row>
    <row r="13" spans="1:67" s="10" customFormat="1" x14ac:dyDescent="0.25">
      <c r="A13" s="14"/>
      <c r="C13" s="10">
        <v>10</v>
      </c>
      <c r="D13" s="14">
        <v>0</v>
      </c>
      <c r="E13" s="10">
        <v>0</v>
      </c>
      <c r="F13" s="10">
        <v>0</v>
      </c>
      <c r="G13" s="10">
        <v>0</v>
      </c>
      <c r="H13" s="1">
        <v>0</v>
      </c>
      <c r="I13" s="10">
        <v>0</v>
      </c>
      <c r="J13" s="10">
        <v>0</v>
      </c>
      <c r="K13" s="2">
        <v>0</v>
      </c>
      <c r="L13" s="1">
        <v>0</v>
      </c>
      <c r="M13" s="10">
        <v>0</v>
      </c>
      <c r="N13" s="10">
        <v>0</v>
      </c>
      <c r="O13" s="2">
        <v>0</v>
      </c>
      <c r="P13" s="10">
        <v>0</v>
      </c>
      <c r="Q13" s="10">
        <v>0</v>
      </c>
      <c r="R13" s="10">
        <v>0</v>
      </c>
      <c r="S13" s="15">
        <v>0</v>
      </c>
      <c r="T13" s="14">
        <v>0</v>
      </c>
      <c r="U13" s="10">
        <v>0</v>
      </c>
      <c r="V13" s="10">
        <v>0</v>
      </c>
      <c r="W13" s="10">
        <v>0</v>
      </c>
      <c r="X13" s="1">
        <v>0</v>
      </c>
      <c r="Y13" s="10">
        <v>0</v>
      </c>
      <c r="Z13" s="10">
        <v>0</v>
      </c>
      <c r="AA13" s="2">
        <v>0</v>
      </c>
      <c r="AB13" s="1">
        <v>0</v>
      </c>
      <c r="AC13" s="10">
        <v>0</v>
      </c>
      <c r="AD13" s="10">
        <v>0</v>
      </c>
      <c r="AE13" s="2">
        <v>0</v>
      </c>
      <c r="AF13" s="10">
        <v>0</v>
      </c>
      <c r="AG13" s="10">
        <v>0</v>
      </c>
      <c r="AH13" s="10">
        <v>0</v>
      </c>
      <c r="AI13" s="15">
        <v>0</v>
      </c>
      <c r="AJ13" s="14">
        <v>0</v>
      </c>
      <c r="AK13" s="10">
        <v>0</v>
      </c>
      <c r="AL13" s="10">
        <v>0</v>
      </c>
      <c r="AM13" s="10">
        <v>0</v>
      </c>
      <c r="AN13" s="1">
        <v>0</v>
      </c>
      <c r="AO13" s="10">
        <v>0</v>
      </c>
      <c r="AP13" s="10">
        <v>0</v>
      </c>
      <c r="AQ13" s="2">
        <v>0</v>
      </c>
      <c r="AR13" s="1">
        <v>0</v>
      </c>
      <c r="AS13" s="10">
        <v>0</v>
      </c>
      <c r="AT13" s="10">
        <v>0</v>
      </c>
      <c r="AU13" s="2">
        <v>0</v>
      </c>
      <c r="AV13" s="10">
        <v>0</v>
      </c>
      <c r="AW13" s="10">
        <v>0</v>
      </c>
      <c r="AX13" s="10">
        <v>0</v>
      </c>
      <c r="AY13" s="15">
        <v>0</v>
      </c>
      <c r="AZ13" s="14">
        <v>0</v>
      </c>
      <c r="BA13" s="10">
        <v>0</v>
      </c>
      <c r="BB13" s="10">
        <v>0</v>
      </c>
      <c r="BC13" s="10">
        <v>0</v>
      </c>
      <c r="BD13" s="1">
        <v>0</v>
      </c>
      <c r="BE13" s="10">
        <v>0</v>
      </c>
      <c r="BF13" s="10">
        <v>0</v>
      </c>
      <c r="BG13" s="2">
        <v>0</v>
      </c>
      <c r="BH13" s="1">
        <v>0</v>
      </c>
      <c r="BI13" s="10">
        <v>0</v>
      </c>
      <c r="BJ13" s="10">
        <v>0</v>
      </c>
      <c r="BK13" s="2">
        <v>0</v>
      </c>
      <c r="BL13" s="10">
        <v>0</v>
      </c>
      <c r="BM13" s="10">
        <v>0</v>
      </c>
      <c r="BN13" s="10">
        <v>0</v>
      </c>
      <c r="BO13" s="15">
        <v>0</v>
      </c>
    </row>
    <row r="14" spans="1:67" s="10" customFormat="1" x14ac:dyDescent="0.25">
      <c r="A14" s="14"/>
      <c r="C14" s="10">
        <v>11</v>
      </c>
      <c r="D14" s="14">
        <v>0</v>
      </c>
      <c r="E14" s="10">
        <v>0</v>
      </c>
      <c r="F14" s="10">
        <v>0</v>
      </c>
      <c r="G14" s="10">
        <v>0</v>
      </c>
      <c r="H14" s="1">
        <v>0</v>
      </c>
      <c r="I14" s="10">
        <v>0</v>
      </c>
      <c r="J14" s="10">
        <v>0</v>
      </c>
      <c r="K14" s="2">
        <v>0</v>
      </c>
      <c r="L14" s="1">
        <v>0</v>
      </c>
      <c r="M14" s="10">
        <v>0</v>
      </c>
      <c r="N14" s="10">
        <v>0</v>
      </c>
      <c r="O14" s="2">
        <v>0</v>
      </c>
      <c r="P14" s="10">
        <v>0</v>
      </c>
      <c r="Q14" s="10">
        <v>0</v>
      </c>
      <c r="R14" s="10">
        <v>0</v>
      </c>
      <c r="S14" s="15">
        <v>0</v>
      </c>
      <c r="T14" s="14">
        <v>0</v>
      </c>
      <c r="U14" s="10">
        <v>0</v>
      </c>
      <c r="V14" s="10">
        <v>0</v>
      </c>
      <c r="W14" s="10">
        <v>0</v>
      </c>
      <c r="X14" s="1">
        <v>0</v>
      </c>
      <c r="Y14" s="10">
        <v>0</v>
      </c>
      <c r="Z14" s="10">
        <v>0</v>
      </c>
      <c r="AA14" s="2">
        <v>0</v>
      </c>
      <c r="AB14" s="1">
        <v>0</v>
      </c>
      <c r="AC14" s="10">
        <v>0</v>
      </c>
      <c r="AD14" s="10">
        <v>0</v>
      </c>
      <c r="AE14" s="2">
        <v>0</v>
      </c>
      <c r="AF14" s="10">
        <v>0</v>
      </c>
      <c r="AG14" s="10">
        <v>0</v>
      </c>
      <c r="AH14" s="10">
        <v>0</v>
      </c>
      <c r="AI14" s="15">
        <v>0</v>
      </c>
      <c r="AJ14" s="14">
        <v>0</v>
      </c>
      <c r="AK14" s="10">
        <v>0</v>
      </c>
      <c r="AL14" s="10">
        <v>0</v>
      </c>
      <c r="AM14" s="10">
        <v>0</v>
      </c>
      <c r="AN14" s="1">
        <v>0</v>
      </c>
      <c r="AO14" s="10">
        <v>0</v>
      </c>
      <c r="AP14" s="10">
        <v>0</v>
      </c>
      <c r="AQ14" s="2">
        <v>0</v>
      </c>
      <c r="AR14" s="1">
        <v>0</v>
      </c>
      <c r="AS14" s="10">
        <v>0</v>
      </c>
      <c r="AT14" s="10">
        <v>0</v>
      </c>
      <c r="AU14" s="2">
        <v>0</v>
      </c>
      <c r="AV14" s="10">
        <v>0</v>
      </c>
      <c r="AW14" s="10">
        <v>0</v>
      </c>
      <c r="AX14" s="10">
        <v>0</v>
      </c>
      <c r="AY14" s="15">
        <v>0</v>
      </c>
      <c r="AZ14" s="14">
        <v>0</v>
      </c>
      <c r="BA14" s="10">
        <v>0</v>
      </c>
      <c r="BB14" s="10">
        <v>0</v>
      </c>
      <c r="BC14" s="10">
        <v>0</v>
      </c>
      <c r="BD14" s="1">
        <v>0</v>
      </c>
      <c r="BE14" s="10">
        <v>0</v>
      </c>
      <c r="BF14" s="10">
        <v>0</v>
      </c>
      <c r="BG14" s="2">
        <v>0</v>
      </c>
      <c r="BH14" s="1">
        <v>0</v>
      </c>
      <c r="BI14" s="10">
        <v>0</v>
      </c>
      <c r="BJ14" s="10">
        <v>0</v>
      </c>
      <c r="BK14" s="2">
        <v>0</v>
      </c>
      <c r="BL14" s="10">
        <v>0</v>
      </c>
      <c r="BM14" s="10">
        <v>0</v>
      </c>
      <c r="BN14" s="10">
        <v>0</v>
      </c>
      <c r="BO14" s="15">
        <v>0</v>
      </c>
    </row>
    <row r="15" spans="1:67" s="6" customFormat="1" x14ac:dyDescent="0.25">
      <c r="A15" s="18"/>
      <c r="C15" s="6">
        <v>12</v>
      </c>
      <c r="D15" s="18">
        <v>0</v>
      </c>
      <c r="E15" s="6">
        <v>0</v>
      </c>
      <c r="F15" s="6">
        <v>0</v>
      </c>
      <c r="G15" s="6">
        <v>0</v>
      </c>
      <c r="H15" s="7">
        <v>0</v>
      </c>
      <c r="I15" s="6">
        <v>0</v>
      </c>
      <c r="J15" s="6">
        <v>0</v>
      </c>
      <c r="K15" s="8">
        <v>0</v>
      </c>
      <c r="L15" s="7">
        <v>0</v>
      </c>
      <c r="M15" s="6">
        <v>0</v>
      </c>
      <c r="N15" s="6">
        <v>0</v>
      </c>
      <c r="O15" s="8">
        <v>0</v>
      </c>
      <c r="P15" s="6">
        <v>0</v>
      </c>
      <c r="Q15" s="6">
        <v>0</v>
      </c>
      <c r="R15" s="6">
        <v>0</v>
      </c>
      <c r="S15" s="19">
        <v>0</v>
      </c>
      <c r="T15" s="18">
        <v>0</v>
      </c>
      <c r="U15" s="6">
        <v>0</v>
      </c>
      <c r="V15" s="6">
        <v>0</v>
      </c>
      <c r="W15" s="6">
        <v>0</v>
      </c>
      <c r="X15" s="7">
        <v>0</v>
      </c>
      <c r="Y15" s="6">
        <v>0</v>
      </c>
      <c r="Z15" s="6">
        <v>0</v>
      </c>
      <c r="AA15" s="8">
        <v>0</v>
      </c>
      <c r="AB15" s="7">
        <v>0</v>
      </c>
      <c r="AC15" s="6">
        <v>0</v>
      </c>
      <c r="AD15" s="6">
        <v>0</v>
      </c>
      <c r="AE15" s="8">
        <v>0</v>
      </c>
      <c r="AF15" s="6">
        <v>0</v>
      </c>
      <c r="AG15" s="6">
        <v>0</v>
      </c>
      <c r="AH15" s="6">
        <v>0</v>
      </c>
      <c r="AI15" s="19">
        <v>0</v>
      </c>
      <c r="AJ15" s="18">
        <v>0</v>
      </c>
      <c r="AK15" s="6">
        <v>0</v>
      </c>
      <c r="AL15" s="6">
        <v>0</v>
      </c>
      <c r="AM15" s="6">
        <v>0</v>
      </c>
      <c r="AN15" s="7">
        <v>0</v>
      </c>
      <c r="AO15" s="6">
        <v>0</v>
      </c>
      <c r="AP15" s="6">
        <v>0</v>
      </c>
      <c r="AQ15" s="8">
        <v>0</v>
      </c>
      <c r="AR15" s="7">
        <v>0</v>
      </c>
      <c r="AS15" s="6">
        <v>0</v>
      </c>
      <c r="AT15" s="6">
        <v>0</v>
      </c>
      <c r="AU15" s="8">
        <v>0</v>
      </c>
      <c r="AV15" s="6">
        <v>0</v>
      </c>
      <c r="AW15" s="6">
        <v>0</v>
      </c>
      <c r="AX15" s="6">
        <v>0</v>
      </c>
      <c r="AY15" s="19">
        <v>0</v>
      </c>
      <c r="AZ15" s="18">
        <v>0</v>
      </c>
      <c r="BA15" s="6">
        <v>0</v>
      </c>
      <c r="BB15" s="6">
        <v>0</v>
      </c>
      <c r="BC15" s="6">
        <v>0</v>
      </c>
      <c r="BD15" s="7">
        <v>0</v>
      </c>
      <c r="BE15" s="6">
        <v>0</v>
      </c>
      <c r="BF15" s="6">
        <v>0</v>
      </c>
      <c r="BG15" s="8">
        <v>0</v>
      </c>
      <c r="BH15" s="7">
        <v>0</v>
      </c>
      <c r="BI15" s="6">
        <v>0</v>
      </c>
      <c r="BJ15" s="6">
        <v>0</v>
      </c>
      <c r="BK15" s="8">
        <v>0</v>
      </c>
      <c r="BL15" s="6">
        <v>0</v>
      </c>
      <c r="BM15" s="6">
        <v>0</v>
      </c>
      <c r="BN15" s="6">
        <v>0</v>
      </c>
      <c r="BO15" s="19">
        <v>0</v>
      </c>
    </row>
    <row r="16" spans="1:67" s="3" customFormat="1" x14ac:dyDescent="0.25">
      <c r="A16" s="16"/>
      <c r="C16" s="3">
        <v>13</v>
      </c>
      <c r="D16" s="16">
        <v>0</v>
      </c>
      <c r="E16" s="3">
        <v>0</v>
      </c>
      <c r="F16" s="3">
        <v>0</v>
      </c>
      <c r="G16" s="3">
        <v>0</v>
      </c>
      <c r="H16" s="4">
        <v>0</v>
      </c>
      <c r="I16" s="3">
        <v>0</v>
      </c>
      <c r="J16" s="3">
        <v>0</v>
      </c>
      <c r="K16" s="5">
        <v>0</v>
      </c>
      <c r="L16" s="4">
        <v>0</v>
      </c>
      <c r="M16" s="3">
        <v>0</v>
      </c>
      <c r="N16" s="3">
        <v>0</v>
      </c>
      <c r="O16" s="5">
        <v>0</v>
      </c>
      <c r="P16" s="3">
        <v>0</v>
      </c>
      <c r="Q16" s="3">
        <v>0</v>
      </c>
      <c r="R16" s="3">
        <v>0</v>
      </c>
      <c r="S16" s="17">
        <v>0</v>
      </c>
      <c r="T16" s="16">
        <v>0</v>
      </c>
      <c r="U16" s="3">
        <v>0</v>
      </c>
      <c r="V16" s="3">
        <v>0</v>
      </c>
      <c r="W16" s="3">
        <v>0</v>
      </c>
      <c r="X16" s="4">
        <v>0</v>
      </c>
      <c r="Y16" s="3">
        <v>0</v>
      </c>
      <c r="Z16" s="3">
        <v>0</v>
      </c>
      <c r="AA16" s="5">
        <v>0</v>
      </c>
      <c r="AB16" s="4">
        <v>0</v>
      </c>
      <c r="AC16" s="3">
        <v>0</v>
      </c>
      <c r="AD16" s="3">
        <v>0</v>
      </c>
      <c r="AE16" s="5">
        <v>0</v>
      </c>
      <c r="AF16" s="3">
        <v>0</v>
      </c>
      <c r="AG16" s="3">
        <v>0</v>
      </c>
      <c r="AH16" s="3">
        <v>0</v>
      </c>
      <c r="AI16" s="17">
        <v>0</v>
      </c>
      <c r="AJ16" s="16">
        <v>0</v>
      </c>
      <c r="AK16" s="3">
        <v>0</v>
      </c>
      <c r="AL16" s="3">
        <v>0</v>
      </c>
      <c r="AM16" s="3">
        <v>0</v>
      </c>
      <c r="AN16" s="4">
        <v>0</v>
      </c>
      <c r="AO16" s="3">
        <v>0</v>
      </c>
      <c r="AP16" s="3">
        <v>0</v>
      </c>
      <c r="AQ16" s="5">
        <v>0</v>
      </c>
      <c r="AR16" s="4">
        <v>0</v>
      </c>
      <c r="AS16" s="3">
        <v>0</v>
      </c>
      <c r="AT16" s="3">
        <v>0</v>
      </c>
      <c r="AU16" s="5">
        <v>0</v>
      </c>
      <c r="AV16" s="3">
        <v>0</v>
      </c>
      <c r="AW16" s="3">
        <v>0</v>
      </c>
      <c r="AX16" s="3">
        <v>0</v>
      </c>
      <c r="AY16" s="17">
        <v>0</v>
      </c>
      <c r="AZ16" s="16">
        <v>0</v>
      </c>
      <c r="BA16" s="3">
        <v>0</v>
      </c>
      <c r="BB16" s="3">
        <v>0</v>
      </c>
      <c r="BC16" s="3">
        <v>0</v>
      </c>
      <c r="BD16" s="4">
        <v>0</v>
      </c>
      <c r="BE16" s="3">
        <v>0</v>
      </c>
      <c r="BF16" s="3">
        <v>0</v>
      </c>
      <c r="BG16" s="5">
        <v>0</v>
      </c>
      <c r="BH16" s="4">
        <v>0</v>
      </c>
      <c r="BI16" s="3">
        <v>0</v>
      </c>
      <c r="BJ16" s="3">
        <v>0</v>
      </c>
      <c r="BK16" s="5">
        <v>0</v>
      </c>
      <c r="BL16" s="3">
        <v>0</v>
      </c>
      <c r="BM16" s="3">
        <v>0</v>
      </c>
      <c r="BN16" s="3">
        <v>0</v>
      </c>
      <c r="BO16" s="17">
        <v>0</v>
      </c>
    </row>
    <row r="17" spans="1:67" s="10" customFormat="1" x14ac:dyDescent="0.25">
      <c r="A17" s="14"/>
      <c r="C17" s="10">
        <v>14</v>
      </c>
      <c r="D17" s="14">
        <v>0</v>
      </c>
      <c r="E17" s="10">
        <v>0</v>
      </c>
      <c r="F17" s="10">
        <v>0</v>
      </c>
      <c r="G17" s="10">
        <v>0</v>
      </c>
      <c r="H17" s="1">
        <v>0</v>
      </c>
      <c r="I17" s="10">
        <v>0</v>
      </c>
      <c r="J17" s="10">
        <v>0</v>
      </c>
      <c r="K17" s="2">
        <v>0</v>
      </c>
      <c r="L17" s="1">
        <v>0</v>
      </c>
      <c r="M17" s="10">
        <v>0</v>
      </c>
      <c r="N17" s="10">
        <v>0</v>
      </c>
      <c r="O17" s="2">
        <v>0</v>
      </c>
      <c r="P17" s="10">
        <v>0</v>
      </c>
      <c r="Q17" s="10">
        <v>0</v>
      </c>
      <c r="R17" s="10">
        <v>0</v>
      </c>
      <c r="S17" s="15">
        <v>0</v>
      </c>
      <c r="T17" s="14">
        <v>0</v>
      </c>
      <c r="U17" s="10">
        <v>0</v>
      </c>
      <c r="V17" s="10">
        <v>0</v>
      </c>
      <c r="W17" s="10">
        <v>0</v>
      </c>
      <c r="X17" s="1">
        <v>0</v>
      </c>
      <c r="Y17" s="10">
        <v>0</v>
      </c>
      <c r="Z17" s="10">
        <v>0</v>
      </c>
      <c r="AA17" s="2">
        <v>0</v>
      </c>
      <c r="AB17" s="1">
        <v>0</v>
      </c>
      <c r="AC17" s="10">
        <v>0</v>
      </c>
      <c r="AD17" s="10">
        <v>0</v>
      </c>
      <c r="AE17" s="2">
        <v>0</v>
      </c>
      <c r="AF17" s="10">
        <v>0</v>
      </c>
      <c r="AG17" s="10">
        <v>0</v>
      </c>
      <c r="AH17" s="10">
        <v>0</v>
      </c>
      <c r="AI17" s="15">
        <v>0</v>
      </c>
      <c r="AJ17" s="14">
        <v>0</v>
      </c>
      <c r="AK17" s="10">
        <v>0</v>
      </c>
      <c r="AL17" s="10">
        <v>0</v>
      </c>
      <c r="AM17" s="10">
        <v>0</v>
      </c>
      <c r="AN17" s="1">
        <v>0</v>
      </c>
      <c r="AO17" s="10">
        <v>0</v>
      </c>
      <c r="AP17" s="10">
        <v>0</v>
      </c>
      <c r="AQ17" s="2">
        <v>0</v>
      </c>
      <c r="AR17" s="1">
        <v>0</v>
      </c>
      <c r="AS17" s="10">
        <v>0</v>
      </c>
      <c r="AT17" s="10">
        <v>0</v>
      </c>
      <c r="AU17" s="2">
        <v>0</v>
      </c>
      <c r="AV17" s="10">
        <v>0</v>
      </c>
      <c r="AW17" s="10">
        <v>0</v>
      </c>
      <c r="AX17" s="10">
        <v>0</v>
      </c>
      <c r="AY17" s="15">
        <v>0</v>
      </c>
      <c r="AZ17" s="14">
        <v>0</v>
      </c>
      <c r="BA17" s="10">
        <v>0</v>
      </c>
      <c r="BB17" s="10">
        <v>0</v>
      </c>
      <c r="BC17" s="10">
        <v>0</v>
      </c>
      <c r="BD17" s="1">
        <v>0</v>
      </c>
      <c r="BE17" s="10">
        <v>0</v>
      </c>
      <c r="BF17" s="10">
        <v>0</v>
      </c>
      <c r="BG17" s="2">
        <v>0</v>
      </c>
      <c r="BH17" s="1">
        <v>0</v>
      </c>
      <c r="BI17" s="10">
        <v>0</v>
      </c>
      <c r="BJ17" s="10">
        <v>0</v>
      </c>
      <c r="BK17" s="2">
        <v>0</v>
      </c>
      <c r="BL17" s="10">
        <v>0</v>
      </c>
      <c r="BM17" s="10">
        <v>0</v>
      </c>
      <c r="BN17" s="10">
        <v>0</v>
      </c>
      <c r="BO17" s="15">
        <v>0</v>
      </c>
    </row>
    <row r="18" spans="1:67" s="10" customFormat="1" x14ac:dyDescent="0.25">
      <c r="A18" s="14"/>
      <c r="C18" s="10">
        <v>15</v>
      </c>
      <c r="D18" s="14">
        <v>0</v>
      </c>
      <c r="E18" s="10">
        <v>0</v>
      </c>
      <c r="F18" s="10">
        <v>0</v>
      </c>
      <c r="G18" s="10">
        <v>0</v>
      </c>
      <c r="H18" s="1">
        <v>0</v>
      </c>
      <c r="I18" s="10">
        <v>0</v>
      </c>
      <c r="J18" s="10">
        <v>0</v>
      </c>
      <c r="K18" s="2">
        <v>0</v>
      </c>
      <c r="L18" s="1">
        <v>0</v>
      </c>
      <c r="M18" s="10">
        <v>0</v>
      </c>
      <c r="N18" s="10">
        <v>0</v>
      </c>
      <c r="O18" s="2">
        <v>0</v>
      </c>
      <c r="P18" s="10">
        <v>0</v>
      </c>
      <c r="Q18" s="10">
        <v>0</v>
      </c>
      <c r="R18" s="10">
        <v>0</v>
      </c>
      <c r="S18" s="15">
        <v>0</v>
      </c>
      <c r="T18" s="14">
        <v>0</v>
      </c>
      <c r="U18" s="10">
        <v>0</v>
      </c>
      <c r="V18" s="10">
        <v>0</v>
      </c>
      <c r="W18" s="10">
        <v>0</v>
      </c>
      <c r="X18" s="1">
        <v>0</v>
      </c>
      <c r="Y18" s="10">
        <v>0</v>
      </c>
      <c r="Z18" s="10">
        <v>0</v>
      </c>
      <c r="AA18" s="2">
        <v>0</v>
      </c>
      <c r="AB18" s="1">
        <v>0</v>
      </c>
      <c r="AC18" s="10">
        <v>0</v>
      </c>
      <c r="AD18" s="10">
        <v>0</v>
      </c>
      <c r="AE18" s="2">
        <v>0</v>
      </c>
      <c r="AF18" s="10">
        <v>0</v>
      </c>
      <c r="AG18" s="10">
        <v>0</v>
      </c>
      <c r="AH18" s="10">
        <v>0</v>
      </c>
      <c r="AI18" s="15">
        <v>0</v>
      </c>
      <c r="AJ18" s="14">
        <v>0</v>
      </c>
      <c r="AK18" s="10">
        <v>0</v>
      </c>
      <c r="AL18" s="10">
        <v>0</v>
      </c>
      <c r="AM18" s="10">
        <v>0</v>
      </c>
      <c r="AN18" s="1">
        <v>0</v>
      </c>
      <c r="AO18" s="10">
        <v>0</v>
      </c>
      <c r="AP18" s="10">
        <v>0</v>
      </c>
      <c r="AQ18" s="2">
        <v>0</v>
      </c>
      <c r="AR18" s="1">
        <v>0</v>
      </c>
      <c r="AS18" s="10">
        <v>0</v>
      </c>
      <c r="AT18" s="10">
        <v>0</v>
      </c>
      <c r="AU18" s="2">
        <v>0</v>
      </c>
      <c r="AV18" s="10">
        <v>0</v>
      </c>
      <c r="AW18" s="10">
        <v>0</v>
      </c>
      <c r="AX18" s="10">
        <v>0</v>
      </c>
      <c r="AY18" s="15">
        <v>0</v>
      </c>
      <c r="AZ18" s="14">
        <v>0</v>
      </c>
      <c r="BA18" s="10">
        <v>0</v>
      </c>
      <c r="BB18" s="10">
        <v>0</v>
      </c>
      <c r="BC18" s="10">
        <v>0</v>
      </c>
      <c r="BD18" s="1">
        <v>0</v>
      </c>
      <c r="BE18" s="10">
        <v>0</v>
      </c>
      <c r="BF18" s="10">
        <v>0</v>
      </c>
      <c r="BG18" s="2">
        <v>0</v>
      </c>
      <c r="BH18" s="1">
        <v>0</v>
      </c>
      <c r="BI18" s="10">
        <v>0</v>
      </c>
      <c r="BJ18" s="10">
        <v>0</v>
      </c>
      <c r="BK18" s="2">
        <v>0</v>
      </c>
      <c r="BL18" s="10">
        <v>0</v>
      </c>
      <c r="BM18" s="10">
        <v>0</v>
      </c>
      <c r="BN18" s="10">
        <v>0</v>
      </c>
      <c r="BO18" s="15">
        <v>0</v>
      </c>
    </row>
    <row r="19" spans="1:67" s="6" customFormat="1" x14ac:dyDescent="0.25">
      <c r="A19" s="18"/>
      <c r="C19" s="6">
        <v>16</v>
      </c>
      <c r="D19" s="18">
        <v>0</v>
      </c>
      <c r="E19" s="6">
        <v>0</v>
      </c>
      <c r="F19" s="6">
        <v>0</v>
      </c>
      <c r="G19" s="6">
        <v>0</v>
      </c>
      <c r="H19" s="7">
        <v>0</v>
      </c>
      <c r="I19" s="6">
        <v>0</v>
      </c>
      <c r="J19" s="6">
        <v>0</v>
      </c>
      <c r="K19" s="8">
        <v>0</v>
      </c>
      <c r="L19" s="7">
        <v>0</v>
      </c>
      <c r="M19" s="6">
        <v>0</v>
      </c>
      <c r="N19" s="6">
        <v>0</v>
      </c>
      <c r="O19" s="8">
        <v>0</v>
      </c>
      <c r="P19" s="6">
        <v>0</v>
      </c>
      <c r="Q19" s="6">
        <v>0</v>
      </c>
      <c r="R19" s="6">
        <v>0</v>
      </c>
      <c r="S19" s="19">
        <v>0</v>
      </c>
      <c r="T19" s="18">
        <v>0</v>
      </c>
      <c r="U19" s="6">
        <v>0</v>
      </c>
      <c r="V19" s="6">
        <v>0</v>
      </c>
      <c r="W19" s="6">
        <v>0</v>
      </c>
      <c r="X19" s="7">
        <v>0</v>
      </c>
      <c r="Y19" s="6">
        <v>0</v>
      </c>
      <c r="Z19" s="6">
        <v>0</v>
      </c>
      <c r="AA19" s="8">
        <v>0</v>
      </c>
      <c r="AB19" s="7">
        <v>0</v>
      </c>
      <c r="AC19" s="6">
        <v>0</v>
      </c>
      <c r="AD19" s="6">
        <v>0</v>
      </c>
      <c r="AE19" s="8">
        <v>0</v>
      </c>
      <c r="AF19" s="6">
        <v>0</v>
      </c>
      <c r="AG19" s="6">
        <v>0</v>
      </c>
      <c r="AH19" s="6">
        <v>0</v>
      </c>
      <c r="AI19" s="19">
        <v>0</v>
      </c>
      <c r="AJ19" s="18">
        <v>0</v>
      </c>
      <c r="AK19" s="6">
        <v>0</v>
      </c>
      <c r="AL19" s="6">
        <v>0</v>
      </c>
      <c r="AM19" s="6">
        <v>0</v>
      </c>
      <c r="AN19" s="7">
        <v>0</v>
      </c>
      <c r="AO19" s="6">
        <v>0</v>
      </c>
      <c r="AP19" s="6">
        <v>0</v>
      </c>
      <c r="AQ19" s="8">
        <v>0</v>
      </c>
      <c r="AR19" s="7">
        <v>0</v>
      </c>
      <c r="AS19" s="6">
        <v>0</v>
      </c>
      <c r="AT19" s="6">
        <v>0</v>
      </c>
      <c r="AU19" s="8">
        <v>0</v>
      </c>
      <c r="AV19" s="6">
        <v>0</v>
      </c>
      <c r="AW19" s="6">
        <v>0</v>
      </c>
      <c r="AX19" s="6">
        <v>0</v>
      </c>
      <c r="AY19" s="19">
        <v>0</v>
      </c>
      <c r="AZ19" s="18">
        <v>0</v>
      </c>
      <c r="BA19" s="6">
        <v>0</v>
      </c>
      <c r="BB19" s="6">
        <v>0</v>
      </c>
      <c r="BC19" s="6">
        <v>0</v>
      </c>
      <c r="BD19" s="7">
        <v>0</v>
      </c>
      <c r="BE19" s="6">
        <v>0</v>
      </c>
      <c r="BF19" s="6">
        <v>0</v>
      </c>
      <c r="BG19" s="8">
        <v>0</v>
      </c>
      <c r="BH19" s="7">
        <v>0</v>
      </c>
      <c r="BI19" s="6">
        <v>0</v>
      </c>
      <c r="BJ19" s="6">
        <v>0</v>
      </c>
      <c r="BK19" s="8">
        <v>0</v>
      </c>
      <c r="BL19" s="6">
        <v>0</v>
      </c>
      <c r="BM19" s="6">
        <v>0</v>
      </c>
      <c r="BN19" s="6">
        <v>0</v>
      </c>
      <c r="BO19" s="19">
        <v>0</v>
      </c>
    </row>
    <row r="20" spans="1:67" s="3" customFormat="1" x14ac:dyDescent="0.25">
      <c r="A20" s="16"/>
      <c r="C20" s="3">
        <v>17</v>
      </c>
      <c r="D20" s="16">
        <v>0</v>
      </c>
      <c r="E20" s="3">
        <v>0</v>
      </c>
      <c r="F20" s="3">
        <v>0</v>
      </c>
      <c r="G20" s="3">
        <v>0</v>
      </c>
      <c r="H20" s="4">
        <v>0</v>
      </c>
      <c r="I20" s="3">
        <v>0</v>
      </c>
      <c r="J20" s="3">
        <v>0</v>
      </c>
      <c r="K20" s="5">
        <v>0</v>
      </c>
      <c r="L20" s="4">
        <v>0</v>
      </c>
      <c r="M20" s="3">
        <v>0</v>
      </c>
      <c r="N20" s="3">
        <v>0</v>
      </c>
      <c r="O20" s="5">
        <v>0</v>
      </c>
      <c r="P20" s="3">
        <v>0</v>
      </c>
      <c r="Q20" s="3">
        <v>0</v>
      </c>
      <c r="R20" s="3">
        <v>0</v>
      </c>
      <c r="S20" s="17">
        <v>0</v>
      </c>
      <c r="T20" s="16">
        <v>0</v>
      </c>
      <c r="U20" s="3">
        <v>0</v>
      </c>
      <c r="V20" s="3">
        <v>0</v>
      </c>
      <c r="W20" s="3">
        <v>0</v>
      </c>
      <c r="X20" s="4">
        <v>0</v>
      </c>
      <c r="Y20" s="3">
        <v>0</v>
      </c>
      <c r="Z20" s="3">
        <v>0</v>
      </c>
      <c r="AA20" s="5">
        <v>0</v>
      </c>
      <c r="AB20" s="4">
        <v>0</v>
      </c>
      <c r="AC20" s="3">
        <v>0</v>
      </c>
      <c r="AD20" s="3">
        <v>0</v>
      </c>
      <c r="AE20" s="5">
        <v>0</v>
      </c>
      <c r="AF20" s="3">
        <v>0</v>
      </c>
      <c r="AG20" s="3">
        <v>0</v>
      </c>
      <c r="AH20" s="3">
        <v>0</v>
      </c>
      <c r="AI20" s="17">
        <v>0</v>
      </c>
      <c r="AJ20" s="16">
        <v>0</v>
      </c>
      <c r="AK20" s="3">
        <v>0</v>
      </c>
      <c r="AL20" s="3">
        <v>0</v>
      </c>
      <c r="AM20" s="3">
        <v>0</v>
      </c>
      <c r="AN20" s="4">
        <v>0</v>
      </c>
      <c r="AO20" s="3">
        <v>0</v>
      </c>
      <c r="AP20" s="3">
        <v>0</v>
      </c>
      <c r="AQ20" s="5">
        <v>0</v>
      </c>
      <c r="AR20" s="4">
        <v>0</v>
      </c>
      <c r="AS20" s="3">
        <v>0</v>
      </c>
      <c r="AT20" s="3">
        <v>0</v>
      </c>
      <c r="AU20" s="5">
        <v>0</v>
      </c>
      <c r="AV20" s="3">
        <v>0</v>
      </c>
      <c r="AW20" s="3">
        <v>0</v>
      </c>
      <c r="AX20" s="3">
        <v>0</v>
      </c>
      <c r="AY20" s="17">
        <v>0</v>
      </c>
      <c r="AZ20" s="16">
        <v>0</v>
      </c>
      <c r="BA20" s="3">
        <v>0</v>
      </c>
      <c r="BB20" s="3">
        <v>0</v>
      </c>
      <c r="BC20" s="3">
        <v>0</v>
      </c>
      <c r="BD20" s="4">
        <v>0</v>
      </c>
      <c r="BE20" s="3">
        <v>0</v>
      </c>
      <c r="BF20" s="3">
        <v>0</v>
      </c>
      <c r="BG20" s="5">
        <v>0</v>
      </c>
      <c r="BH20" s="4">
        <v>0</v>
      </c>
      <c r="BI20" s="3">
        <v>0</v>
      </c>
      <c r="BJ20" s="3">
        <v>0</v>
      </c>
      <c r="BK20" s="5">
        <v>0</v>
      </c>
      <c r="BL20" s="3">
        <v>0</v>
      </c>
      <c r="BM20" s="3">
        <v>0</v>
      </c>
      <c r="BN20" s="3">
        <v>0</v>
      </c>
      <c r="BO20" s="17">
        <v>0</v>
      </c>
    </row>
    <row r="21" spans="1:67" s="10" customFormat="1" x14ac:dyDescent="0.25">
      <c r="A21" s="14"/>
      <c r="C21" s="10">
        <v>18</v>
      </c>
      <c r="D21" s="14">
        <v>0</v>
      </c>
      <c r="E21" s="10">
        <v>0</v>
      </c>
      <c r="F21" s="10">
        <v>0</v>
      </c>
      <c r="G21" s="10">
        <v>0</v>
      </c>
      <c r="H21" s="1">
        <v>0</v>
      </c>
      <c r="I21" s="10">
        <v>0</v>
      </c>
      <c r="J21" s="10">
        <v>0</v>
      </c>
      <c r="K21" s="2">
        <v>0</v>
      </c>
      <c r="L21" s="1">
        <v>0</v>
      </c>
      <c r="M21" s="10">
        <v>0</v>
      </c>
      <c r="N21" s="10">
        <v>0</v>
      </c>
      <c r="O21" s="2">
        <v>0</v>
      </c>
      <c r="P21" s="10">
        <v>0</v>
      </c>
      <c r="Q21" s="10">
        <v>0</v>
      </c>
      <c r="R21" s="10">
        <v>0</v>
      </c>
      <c r="S21" s="15">
        <v>0</v>
      </c>
      <c r="T21" s="14">
        <v>0</v>
      </c>
      <c r="U21" s="10">
        <v>0</v>
      </c>
      <c r="V21" s="10">
        <v>0</v>
      </c>
      <c r="W21" s="10">
        <v>0</v>
      </c>
      <c r="X21" s="1">
        <v>0</v>
      </c>
      <c r="Y21" s="10">
        <v>0</v>
      </c>
      <c r="Z21" s="10">
        <v>0</v>
      </c>
      <c r="AA21" s="2">
        <v>0</v>
      </c>
      <c r="AB21" s="1">
        <v>0</v>
      </c>
      <c r="AC21" s="10">
        <v>0</v>
      </c>
      <c r="AD21" s="10">
        <v>0</v>
      </c>
      <c r="AE21" s="2">
        <v>0</v>
      </c>
      <c r="AF21" s="10">
        <v>0</v>
      </c>
      <c r="AG21" s="10">
        <v>0</v>
      </c>
      <c r="AH21" s="10">
        <v>0</v>
      </c>
      <c r="AI21" s="15">
        <v>0</v>
      </c>
      <c r="AJ21" s="14">
        <v>0</v>
      </c>
      <c r="AK21" s="10">
        <v>0</v>
      </c>
      <c r="AL21" s="10">
        <v>0</v>
      </c>
      <c r="AM21" s="10">
        <v>0</v>
      </c>
      <c r="AN21" s="1">
        <v>0</v>
      </c>
      <c r="AO21" s="10">
        <v>0</v>
      </c>
      <c r="AP21" s="10">
        <v>0</v>
      </c>
      <c r="AQ21" s="2">
        <v>0</v>
      </c>
      <c r="AR21" s="1">
        <v>0</v>
      </c>
      <c r="AS21" s="10">
        <v>0</v>
      </c>
      <c r="AT21" s="10">
        <v>0</v>
      </c>
      <c r="AU21" s="2">
        <v>0</v>
      </c>
      <c r="AV21" s="10">
        <v>0</v>
      </c>
      <c r="AW21" s="10">
        <v>0</v>
      </c>
      <c r="AX21" s="10">
        <v>0</v>
      </c>
      <c r="AY21" s="15">
        <v>0</v>
      </c>
      <c r="AZ21" s="14">
        <v>0</v>
      </c>
      <c r="BA21" s="10">
        <v>0</v>
      </c>
      <c r="BB21" s="10">
        <v>0</v>
      </c>
      <c r="BC21" s="10">
        <v>0</v>
      </c>
      <c r="BD21" s="1">
        <v>0</v>
      </c>
      <c r="BE21" s="10">
        <v>0</v>
      </c>
      <c r="BF21" s="10">
        <v>0</v>
      </c>
      <c r="BG21" s="2">
        <v>0</v>
      </c>
      <c r="BH21" s="1">
        <v>0</v>
      </c>
      <c r="BI21" s="10">
        <v>0</v>
      </c>
      <c r="BJ21" s="10">
        <v>0</v>
      </c>
      <c r="BK21" s="2">
        <v>0</v>
      </c>
      <c r="BL21" s="10">
        <v>0</v>
      </c>
      <c r="BM21" s="10">
        <v>0</v>
      </c>
      <c r="BN21" s="10">
        <v>0</v>
      </c>
      <c r="BO21" s="15">
        <v>0</v>
      </c>
    </row>
    <row r="22" spans="1:67" s="10" customFormat="1" x14ac:dyDescent="0.25">
      <c r="A22" s="14"/>
      <c r="C22" s="10">
        <v>19</v>
      </c>
      <c r="D22" s="14">
        <v>0</v>
      </c>
      <c r="E22" s="10">
        <v>0</v>
      </c>
      <c r="F22" s="10">
        <v>0</v>
      </c>
      <c r="G22" s="10">
        <v>0</v>
      </c>
      <c r="H22" s="1">
        <v>0</v>
      </c>
      <c r="I22" s="10">
        <v>0</v>
      </c>
      <c r="J22" s="10">
        <v>0</v>
      </c>
      <c r="K22" s="2">
        <v>0</v>
      </c>
      <c r="L22" s="1">
        <v>0</v>
      </c>
      <c r="M22" s="10">
        <v>0</v>
      </c>
      <c r="N22" s="10">
        <v>0</v>
      </c>
      <c r="O22" s="2">
        <v>0</v>
      </c>
      <c r="P22" s="10">
        <v>0</v>
      </c>
      <c r="Q22" s="10">
        <v>0</v>
      </c>
      <c r="R22" s="10">
        <v>0</v>
      </c>
      <c r="S22" s="15">
        <v>0</v>
      </c>
      <c r="T22" s="14">
        <v>0</v>
      </c>
      <c r="U22" s="10">
        <v>0</v>
      </c>
      <c r="V22" s="10">
        <v>0</v>
      </c>
      <c r="W22" s="10">
        <v>0</v>
      </c>
      <c r="X22" s="1">
        <v>0</v>
      </c>
      <c r="Y22" s="10">
        <v>0</v>
      </c>
      <c r="Z22" s="10">
        <v>0</v>
      </c>
      <c r="AA22" s="2">
        <v>0</v>
      </c>
      <c r="AB22" s="1">
        <v>0</v>
      </c>
      <c r="AC22" s="10">
        <v>0</v>
      </c>
      <c r="AD22" s="10">
        <v>0</v>
      </c>
      <c r="AE22" s="2">
        <v>0</v>
      </c>
      <c r="AF22" s="10">
        <v>0</v>
      </c>
      <c r="AG22" s="10">
        <v>0</v>
      </c>
      <c r="AH22" s="10">
        <v>0</v>
      </c>
      <c r="AI22" s="15">
        <v>0</v>
      </c>
      <c r="AJ22" s="14">
        <v>0</v>
      </c>
      <c r="AK22" s="10">
        <v>0</v>
      </c>
      <c r="AL22" s="10">
        <v>0</v>
      </c>
      <c r="AM22" s="10">
        <v>0</v>
      </c>
      <c r="AN22" s="1">
        <v>0</v>
      </c>
      <c r="AO22" s="10">
        <v>0</v>
      </c>
      <c r="AP22" s="10">
        <v>0</v>
      </c>
      <c r="AQ22" s="2">
        <v>0</v>
      </c>
      <c r="AR22" s="1">
        <v>0</v>
      </c>
      <c r="AS22" s="10">
        <v>0</v>
      </c>
      <c r="AT22" s="10">
        <v>0</v>
      </c>
      <c r="AU22" s="2">
        <v>0</v>
      </c>
      <c r="AV22" s="10">
        <v>0</v>
      </c>
      <c r="AW22" s="10">
        <v>0</v>
      </c>
      <c r="AX22" s="10">
        <v>0</v>
      </c>
      <c r="AY22" s="15">
        <v>0</v>
      </c>
      <c r="AZ22" s="14">
        <v>0</v>
      </c>
      <c r="BA22" s="10">
        <v>0</v>
      </c>
      <c r="BB22" s="10">
        <v>0</v>
      </c>
      <c r="BC22" s="10">
        <v>0</v>
      </c>
      <c r="BD22" s="1">
        <v>0</v>
      </c>
      <c r="BE22" s="10">
        <v>0</v>
      </c>
      <c r="BF22" s="10">
        <v>0</v>
      </c>
      <c r="BG22" s="2">
        <v>0</v>
      </c>
      <c r="BH22" s="1">
        <v>0</v>
      </c>
      <c r="BI22" s="10">
        <v>0</v>
      </c>
      <c r="BJ22" s="10">
        <v>0</v>
      </c>
      <c r="BK22" s="2">
        <v>0</v>
      </c>
      <c r="BL22" s="10">
        <v>0</v>
      </c>
      <c r="BM22" s="10">
        <v>0</v>
      </c>
      <c r="BN22" s="10">
        <v>0</v>
      </c>
      <c r="BO22" s="15">
        <v>0</v>
      </c>
    </row>
    <row r="23" spans="1:67" s="6" customFormat="1" x14ac:dyDescent="0.25">
      <c r="A23" s="18"/>
      <c r="C23" s="6">
        <v>20</v>
      </c>
      <c r="D23" s="18">
        <v>0</v>
      </c>
      <c r="E23" s="6">
        <v>0</v>
      </c>
      <c r="F23" s="6">
        <v>0</v>
      </c>
      <c r="G23" s="6">
        <v>0</v>
      </c>
      <c r="H23" s="7">
        <v>0</v>
      </c>
      <c r="I23" s="6">
        <v>0</v>
      </c>
      <c r="J23" s="6">
        <v>0</v>
      </c>
      <c r="K23" s="8">
        <v>0</v>
      </c>
      <c r="L23" s="7">
        <v>0</v>
      </c>
      <c r="M23" s="6">
        <v>0</v>
      </c>
      <c r="N23" s="6">
        <v>0</v>
      </c>
      <c r="O23" s="8">
        <v>0</v>
      </c>
      <c r="P23" s="6">
        <v>0</v>
      </c>
      <c r="Q23" s="6">
        <v>0</v>
      </c>
      <c r="R23" s="6">
        <v>0</v>
      </c>
      <c r="S23" s="19">
        <v>0</v>
      </c>
      <c r="T23" s="18">
        <v>0</v>
      </c>
      <c r="U23" s="6">
        <v>0</v>
      </c>
      <c r="V23" s="6">
        <v>0</v>
      </c>
      <c r="W23" s="6">
        <v>0</v>
      </c>
      <c r="X23" s="7">
        <v>0</v>
      </c>
      <c r="Y23" s="6">
        <v>0</v>
      </c>
      <c r="Z23" s="6">
        <v>0</v>
      </c>
      <c r="AA23" s="8">
        <v>0</v>
      </c>
      <c r="AB23" s="7">
        <v>0</v>
      </c>
      <c r="AC23" s="6">
        <v>0</v>
      </c>
      <c r="AD23" s="6">
        <v>0</v>
      </c>
      <c r="AE23" s="8">
        <v>0</v>
      </c>
      <c r="AF23" s="6">
        <v>0</v>
      </c>
      <c r="AG23" s="6">
        <v>0</v>
      </c>
      <c r="AH23" s="6">
        <v>0</v>
      </c>
      <c r="AI23" s="19">
        <v>0</v>
      </c>
      <c r="AJ23" s="18">
        <v>0</v>
      </c>
      <c r="AK23" s="6">
        <v>0</v>
      </c>
      <c r="AL23" s="6">
        <v>0</v>
      </c>
      <c r="AM23" s="6">
        <v>0</v>
      </c>
      <c r="AN23" s="7">
        <v>0</v>
      </c>
      <c r="AO23" s="6">
        <v>0</v>
      </c>
      <c r="AP23" s="6">
        <v>0</v>
      </c>
      <c r="AQ23" s="8">
        <v>0</v>
      </c>
      <c r="AR23" s="7">
        <v>0</v>
      </c>
      <c r="AS23" s="6">
        <v>0</v>
      </c>
      <c r="AT23" s="6">
        <v>0</v>
      </c>
      <c r="AU23" s="8">
        <v>0</v>
      </c>
      <c r="AV23" s="6">
        <v>0</v>
      </c>
      <c r="AW23" s="6">
        <v>0</v>
      </c>
      <c r="AX23" s="6">
        <v>0</v>
      </c>
      <c r="AY23" s="19">
        <v>0</v>
      </c>
      <c r="AZ23" s="18">
        <v>0</v>
      </c>
      <c r="BA23" s="6">
        <v>0</v>
      </c>
      <c r="BB23" s="6">
        <v>0</v>
      </c>
      <c r="BC23" s="6">
        <v>0</v>
      </c>
      <c r="BD23" s="7">
        <v>0</v>
      </c>
      <c r="BE23" s="6">
        <v>0</v>
      </c>
      <c r="BF23" s="6">
        <v>0</v>
      </c>
      <c r="BG23" s="8">
        <v>0</v>
      </c>
      <c r="BH23" s="7">
        <v>0</v>
      </c>
      <c r="BI23" s="6">
        <v>0</v>
      </c>
      <c r="BJ23" s="6">
        <v>0</v>
      </c>
      <c r="BK23" s="8">
        <v>0</v>
      </c>
      <c r="BL23" s="6">
        <v>0</v>
      </c>
      <c r="BM23" s="6">
        <v>0</v>
      </c>
      <c r="BN23" s="6">
        <v>0</v>
      </c>
      <c r="BO23" s="19">
        <v>0</v>
      </c>
    </row>
    <row r="24" spans="1:67" s="3" customFormat="1" x14ac:dyDescent="0.25">
      <c r="A24" s="16"/>
      <c r="C24" s="3">
        <v>21</v>
      </c>
      <c r="D24" s="16">
        <v>0</v>
      </c>
      <c r="E24" s="3">
        <v>0</v>
      </c>
      <c r="F24" s="3">
        <v>0</v>
      </c>
      <c r="G24" s="3">
        <v>0</v>
      </c>
      <c r="H24" s="4">
        <v>0</v>
      </c>
      <c r="I24" s="3">
        <v>0</v>
      </c>
      <c r="J24" s="3">
        <v>0</v>
      </c>
      <c r="K24" s="5">
        <v>0</v>
      </c>
      <c r="L24" s="4">
        <v>0</v>
      </c>
      <c r="M24" s="3">
        <v>0</v>
      </c>
      <c r="N24" s="3">
        <v>0</v>
      </c>
      <c r="O24" s="5">
        <v>0</v>
      </c>
      <c r="P24" s="3">
        <v>0</v>
      </c>
      <c r="Q24" s="3">
        <v>0</v>
      </c>
      <c r="R24" s="3">
        <v>0</v>
      </c>
      <c r="S24" s="17">
        <v>0</v>
      </c>
      <c r="T24" s="16">
        <v>0</v>
      </c>
      <c r="U24" s="3">
        <v>0</v>
      </c>
      <c r="V24" s="3">
        <v>0</v>
      </c>
      <c r="W24" s="3">
        <v>0</v>
      </c>
      <c r="X24" s="4">
        <v>0</v>
      </c>
      <c r="Y24" s="3">
        <v>0</v>
      </c>
      <c r="Z24" s="3">
        <v>0</v>
      </c>
      <c r="AA24" s="5">
        <v>0</v>
      </c>
      <c r="AB24" s="4">
        <v>0</v>
      </c>
      <c r="AC24" s="3">
        <v>0</v>
      </c>
      <c r="AD24" s="3">
        <v>0</v>
      </c>
      <c r="AE24" s="5">
        <v>0</v>
      </c>
      <c r="AF24" s="3">
        <v>0</v>
      </c>
      <c r="AG24" s="3">
        <v>0</v>
      </c>
      <c r="AH24" s="3">
        <v>0</v>
      </c>
      <c r="AI24" s="17">
        <v>0</v>
      </c>
      <c r="AJ24" s="16">
        <v>0</v>
      </c>
      <c r="AK24" s="3">
        <v>0</v>
      </c>
      <c r="AL24" s="3">
        <v>0</v>
      </c>
      <c r="AM24" s="3">
        <v>0</v>
      </c>
      <c r="AN24" s="4">
        <v>0</v>
      </c>
      <c r="AO24" s="3">
        <v>0</v>
      </c>
      <c r="AP24" s="3">
        <v>0</v>
      </c>
      <c r="AQ24" s="5">
        <v>0</v>
      </c>
      <c r="AR24" s="4">
        <v>0</v>
      </c>
      <c r="AS24" s="3">
        <v>0</v>
      </c>
      <c r="AT24" s="3">
        <v>0</v>
      </c>
      <c r="AU24" s="5">
        <v>0</v>
      </c>
      <c r="AV24" s="3">
        <v>0</v>
      </c>
      <c r="AW24" s="3">
        <v>0</v>
      </c>
      <c r="AX24" s="3">
        <v>0</v>
      </c>
      <c r="AY24" s="17">
        <v>0</v>
      </c>
      <c r="AZ24" s="16">
        <v>0</v>
      </c>
      <c r="BA24" s="3">
        <v>0</v>
      </c>
      <c r="BB24" s="3">
        <v>0</v>
      </c>
      <c r="BC24" s="3">
        <v>0</v>
      </c>
      <c r="BD24" s="4">
        <v>0</v>
      </c>
      <c r="BE24" s="3">
        <v>0</v>
      </c>
      <c r="BF24" s="3">
        <v>0</v>
      </c>
      <c r="BG24" s="5">
        <v>0</v>
      </c>
      <c r="BH24" s="4">
        <v>0</v>
      </c>
      <c r="BI24" s="3">
        <v>0</v>
      </c>
      <c r="BJ24" s="3">
        <v>0</v>
      </c>
      <c r="BK24" s="5">
        <v>0</v>
      </c>
      <c r="BL24" s="3">
        <v>0</v>
      </c>
      <c r="BM24" s="3">
        <v>0</v>
      </c>
      <c r="BN24" s="3">
        <v>0</v>
      </c>
      <c r="BO24" s="17">
        <v>0</v>
      </c>
    </row>
    <row r="25" spans="1:67" s="10" customFormat="1" x14ac:dyDescent="0.25">
      <c r="A25" s="14"/>
      <c r="C25" s="10">
        <v>22</v>
      </c>
      <c r="D25" s="14">
        <v>0</v>
      </c>
      <c r="E25" s="10">
        <v>0</v>
      </c>
      <c r="F25" s="10">
        <v>0</v>
      </c>
      <c r="G25" s="10">
        <v>0</v>
      </c>
      <c r="H25" s="1">
        <v>0</v>
      </c>
      <c r="I25" s="10">
        <v>0</v>
      </c>
      <c r="J25" s="10">
        <v>0</v>
      </c>
      <c r="K25" s="2">
        <v>0</v>
      </c>
      <c r="L25" s="1">
        <v>0</v>
      </c>
      <c r="M25" s="10">
        <v>0</v>
      </c>
      <c r="N25" s="10">
        <v>0</v>
      </c>
      <c r="O25" s="2">
        <v>0</v>
      </c>
      <c r="P25" s="10">
        <v>0</v>
      </c>
      <c r="Q25" s="10">
        <v>0</v>
      </c>
      <c r="R25" s="10">
        <v>0</v>
      </c>
      <c r="S25" s="15">
        <v>0</v>
      </c>
      <c r="T25" s="14">
        <v>0</v>
      </c>
      <c r="U25" s="10">
        <v>0</v>
      </c>
      <c r="V25" s="10">
        <v>0</v>
      </c>
      <c r="W25" s="10">
        <v>0</v>
      </c>
      <c r="X25" s="1">
        <v>0</v>
      </c>
      <c r="Y25" s="10">
        <v>0</v>
      </c>
      <c r="Z25" s="10">
        <v>0</v>
      </c>
      <c r="AA25" s="2">
        <v>0</v>
      </c>
      <c r="AB25" s="1">
        <v>0</v>
      </c>
      <c r="AC25" s="10">
        <v>0</v>
      </c>
      <c r="AD25" s="10">
        <v>0</v>
      </c>
      <c r="AE25" s="2">
        <v>0</v>
      </c>
      <c r="AF25" s="10">
        <v>0</v>
      </c>
      <c r="AG25" s="10">
        <v>0</v>
      </c>
      <c r="AH25" s="10">
        <v>0</v>
      </c>
      <c r="AI25" s="15">
        <v>0</v>
      </c>
      <c r="AJ25" s="14">
        <v>0</v>
      </c>
      <c r="AK25" s="10">
        <v>0</v>
      </c>
      <c r="AL25" s="10">
        <v>0</v>
      </c>
      <c r="AM25" s="10">
        <v>0</v>
      </c>
      <c r="AN25" s="1">
        <v>0</v>
      </c>
      <c r="AO25" s="10">
        <v>0</v>
      </c>
      <c r="AP25" s="10">
        <v>0</v>
      </c>
      <c r="AQ25" s="2">
        <v>0</v>
      </c>
      <c r="AR25" s="1">
        <v>0</v>
      </c>
      <c r="AS25" s="10">
        <v>0</v>
      </c>
      <c r="AT25" s="10">
        <v>0</v>
      </c>
      <c r="AU25" s="2">
        <v>0</v>
      </c>
      <c r="AV25" s="10">
        <v>0</v>
      </c>
      <c r="AW25" s="10">
        <v>0</v>
      </c>
      <c r="AX25" s="10">
        <v>0</v>
      </c>
      <c r="AY25" s="15">
        <v>0</v>
      </c>
      <c r="AZ25" s="14">
        <v>0</v>
      </c>
      <c r="BA25" s="10">
        <v>0</v>
      </c>
      <c r="BB25" s="10">
        <v>0</v>
      </c>
      <c r="BC25" s="10">
        <v>0</v>
      </c>
      <c r="BD25" s="1">
        <v>0</v>
      </c>
      <c r="BE25" s="10">
        <v>0</v>
      </c>
      <c r="BF25" s="10">
        <v>0</v>
      </c>
      <c r="BG25" s="2">
        <v>0</v>
      </c>
      <c r="BH25" s="1">
        <v>0</v>
      </c>
      <c r="BI25" s="10">
        <v>0</v>
      </c>
      <c r="BJ25" s="10">
        <v>0</v>
      </c>
      <c r="BK25" s="2">
        <v>0</v>
      </c>
      <c r="BL25" s="10">
        <v>0</v>
      </c>
      <c r="BM25" s="10">
        <v>0</v>
      </c>
      <c r="BN25" s="10">
        <v>0</v>
      </c>
      <c r="BO25" s="15">
        <v>0</v>
      </c>
    </row>
    <row r="26" spans="1:67" s="10" customFormat="1" x14ac:dyDescent="0.25">
      <c r="A26" s="14"/>
      <c r="C26" s="10">
        <v>23</v>
      </c>
      <c r="D26" s="14">
        <v>0</v>
      </c>
      <c r="E26" s="10">
        <v>0</v>
      </c>
      <c r="F26" s="10">
        <v>0</v>
      </c>
      <c r="G26" s="10">
        <v>0</v>
      </c>
      <c r="H26" s="1">
        <v>0</v>
      </c>
      <c r="I26" s="10">
        <v>0</v>
      </c>
      <c r="J26" s="10">
        <v>0</v>
      </c>
      <c r="K26" s="2">
        <v>0</v>
      </c>
      <c r="L26" s="1">
        <v>0</v>
      </c>
      <c r="M26" s="10">
        <v>0</v>
      </c>
      <c r="N26" s="10">
        <v>0</v>
      </c>
      <c r="O26" s="2">
        <v>0</v>
      </c>
      <c r="P26" s="10">
        <v>0</v>
      </c>
      <c r="Q26" s="10">
        <v>0</v>
      </c>
      <c r="R26" s="10">
        <v>0</v>
      </c>
      <c r="S26" s="15">
        <v>0</v>
      </c>
      <c r="T26" s="14">
        <v>0</v>
      </c>
      <c r="U26" s="10">
        <v>0</v>
      </c>
      <c r="V26" s="10">
        <v>0</v>
      </c>
      <c r="W26" s="10">
        <v>0</v>
      </c>
      <c r="X26" s="1">
        <v>0</v>
      </c>
      <c r="Y26" s="10">
        <v>0</v>
      </c>
      <c r="Z26" s="10">
        <v>0</v>
      </c>
      <c r="AA26" s="2">
        <v>0</v>
      </c>
      <c r="AB26" s="1">
        <v>0</v>
      </c>
      <c r="AC26" s="10">
        <v>0</v>
      </c>
      <c r="AD26" s="10">
        <v>0</v>
      </c>
      <c r="AE26" s="2">
        <v>0</v>
      </c>
      <c r="AF26" s="10">
        <v>0</v>
      </c>
      <c r="AG26" s="10">
        <v>0</v>
      </c>
      <c r="AH26" s="10">
        <v>0</v>
      </c>
      <c r="AI26" s="15">
        <v>0</v>
      </c>
      <c r="AJ26" s="14">
        <v>0</v>
      </c>
      <c r="AK26" s="10">
        <v>0</v>
      </c>
      <c r="AL26" s="10">
        <v>0</v>
      </c>
      <c r="AM26" s="10">
        <v>0</v>
      </c>
      <c r="AN26" s="1">
        <v>0</v>
      </c>
      <c r="AO26" s="10">
        <v>0</v>
      </c>
      <c r="AP26" s="10">
        <v>0</v>
      </c>
      <c r="AQ26" s="2">
        <v>0</v>
      </c>
      <c r="AR26" s="1">
        <v>0</v>
      </c>
      <c r="AS26" s="10">
        <v>0</v>
      </c>
      <c r="AT26" s="10">
        <v>0</v>
      </c>
      <c r="AU26" s="2">
        <v>0</v>
      </c>
      <c r="AV26" s="10">
        <v>0</v>
      </c>
      <c r="AW26" s="10">
        <v>0</v>
      </c>
      <c r="AX26" s="10">
        <v>0</v>
      </c>
      <c r="AY26" s="15">
        <v>0</v>
      </c>
      <c r="AZ26" s="14">
        <v>0</v>
      </c>
      <c r="BA26" s="10">
        <v>0</v>
      </c>
      <c r="BB26" s="10">
        <v>0</v>
      </c>
      <c r="BC26" s="10">
        <v>0</v>
      </c>
      <c r="BD26" s="1">
        <v>0</v>
      </c>
      <c r="BE26" s="10">
        <v>0</v>
      </c>
      <c r="BF26" s="10">
        <v>0</v>
      </c>
      <c r="BG26" s="2">
        <v>0</v>
      </c>
      <c r="BH26" s="1">
        <v>0</v>
      </c>
      <c r="BI26" s="10">
        <v>0</v>
      </c>
      <c r="BJ26" s="10">
        <v>0</v>
      </c>
      <c r="BK26" s="2">
        <v>0</v>
      </c>
      <c r="BL26" s="10">
        <v>0</v>
      </c>
      <c r="BM26" s="10">
        <v>0</v>
      </c>
      <c r="BN26" s="10">
        <v>0</v>
      </c>
      <c r="BO26" s="15">
        <v>0</v>
      </c>
    </row>
    <row r="27" spans="1:67" s="6" customFormat="1" x14ac:dyDescent="0.25">
      <c r="A27" s="18"/>
      <c r="C27" s="6">
        <v>24</v>
      </c>
      <c r="D27" s="18">
        <v>0</v>
      </c>
      <c r="E27" s="6">
        <v>0</v>
      </c>
      <c r="F27" s="6">
        <v>0</v>
      </c>
      <c r="G27" s="6">
        <v>0</v>
      </c>
      <c r="H27" s="7">
        <v>0</v>
      </c>
      <c r="I27" s="6">
        <v>0</v>
      </c>
      <c r="J27" s="6">
        <v>0</v>
      </c>
      <c r="K27" s="8">
        <v>0</v>
      </c>
      <c r="L27" s="7">
        <v>0</v>
      </c>
      <c r="M27" s="6">
        <v>0</v>
      </c>
      <c r="N27" s="6">
        <v>0</v>
      </c>
      <c r="O27" s="8">
        <v>0</v>
      </c>
      <c r="P27" s="6">
        <v>0</v>
      </c>
      <c r="Q27" s="6">
        <v>0</v>
      </c>
      <c r="R27" s="6">
        <v>0</v>
      </c>
      <c r="S27" s="19">
        <v>0</v>
      </c>
      <c r="T27" s="18">
        <v>0</v>
      </c>
      <c r="U27" s="6">
        <v>0</v>
      </c>
      <c r="V27" s="6">
        <v>0</v>
      </c>
      <c r="W27" s="6">
        <v>0</v>
      </c>
      <c r="X27" s="7">
        <v>0</v>
      </c>
      <c r="Y27" s="6">
        <v>0</v>
      </c>
      <c r="Z27" s="6">
        <v>0</v>
      </c>
      <c r="AA27" s="8">
        <v>0</v>
      </c>
      <c r="AB27" s="7">
        <v>0</v>
      </c>
      <c r="AC27" s="6">
        <v>0</v>
      </c>
      <c r="AD27" s="6">
        <v>0</v>
      </c>
      <c r="AE27" s="8">
        <v>0</v>
      </c>
      <c r="AF27" s="6">
        <v>0</v>
      </c>
      <c r="AG27" s="6">
        <v>0</v>
      </c>
      <c r="AH27" s="6">
        <v>0</v>
      </c>
      <c r="AI27" s="19">
        <v>0</v>
      </c>
      <c r="AJ27" s="18">
        <v>0</v>
      </c>
      <c r="AK27" s="6">
        <v>0</v>
      </c>
      <c r="AL27" s="6">
        <v>0</v>
      </c>
      <c r="AM27" s="6">
        <v>0</v>
      </c>
      <c r="AN27" s="7">
        <v>0</v>
      </c>
      <c r="AO27" s="6">
        <v>0</v>
      </c>
      <c r="AP27" s="6">
        <v>0</v>
      </c>
      <c r="AQ27" s="8">
        <v>0</v>
      </c>
      <c r="AR27" s="7">
        <v>0</v>
      </c>
      <c r="AS27" s="6">
        <v>0</v>
      </c>
      <c r="AT27" s="6">
        <v>0</v>
      </c>
      <c r="AU27" s="8">
        <v>0</v>
      </c>
      <c r="AV27" s="6">
        <v>0</v>
      </c>
      <c r="AW27" s="6">
        <v>0</v>
      </c>
      <c r="AX27" s="6">
        <v>0</v>
      </c>
      <c r="AY27" s="19">
        <v>0</v>
      </c>
      <c r="AZ27" s="18">
        <v>0</v>
      </c>
      <c r="BA27" s="6">
        <v>0</v>
      </c>
      <c r="BB27" s="6">
        <v>0</v>
      </c>
      <c r="BC27" s="6">
        <v>0</v>
      </c>
      <c r="BD27" s="7">
        <v>0</v>
      </c>
      <c r="BE27" s="6">
        <v>0</v>
      </c>
      <c r="BF27" s="6">
        <v>0</v>
      </c>
      <c r="BG27" s="8">
        <v>0</v>
      </c>
      <c r="BH27" s="7">
        <v>0</v>
      </c>
      <c r="BI27" s="6">
        <v>0</v>
      </c>
      <c r="BJ27" s="6">
        <v>0</v>
      </c>
      <c r="BK27" s="8">
        <v>0</v>
      </c>
      <c r="BL27" s="6">
        <v>0</v>
      </c>
      <c r="BM27" s="6">
        <v>0</v>
      </c>
      <c r="BN27" s="6">
        <v>0</v>
      </c>
      <c r="BO27" s="19">
        <v>0</v>
      </c>
    </row>
    <row r="28" spans="1:67" s="3" customFormat="1" x14ac:dyDescent="0.25">
      <c r="A28" s="16"/>
      <c r="C28" s="3">
        <v>25</v>
      </c>
      <c r="D28" s="16">
        <v>0</v>
      </c>
      <c r="E28" s="3">
        <v>0</v>
      </c>
      <c r="F28" s="3">
        <v>0</v>
      </c>
      <c r="G28" s="3">
        <v>0</v>
      </c>
      <c r="H28" s="4">
        <v>0</v>
      </c>
      <c r="I28" s="3">
        <v>0</v>
      </c>
      <c r="J28" s="3">
        <v>0</v>
      </c>
      <c r="K28" s="5">
        <v>0</v>
      </c>
      <c r="L28" s="4">
        <v>0</v>
      </c>
      <c r="M28" s="3">
        <v>0</v>
      </c>
      <c r="N28" s="3">
        <v>0</v>
      </c>
      <c r="O28" s="5">
        <v>0</v>
      </c>
      <c r="P28" s="3">
        <v>0</v>
      </c>
      <c r="Q28" s="3">
        <v>0</v>
      </c>
      <c r="R28" s="3">
        <v>0</v>
      </c>
      <c r="S28" s="17">
        <v>0</v>
      </c>
      <c r="T28" s="16">
        <v>0</v>
      </c>
      <c r="U28" s="3">
        <v>0</v>
      </c>
      <c r="V28" s="3">
        <v>0</v>
      </c>
      <c r="W28" s="3">
        <v>0</v>
      </c>
      <c r="X28" s="4">
        <v>0</v>
      </c>
      <c r="Y28" s="3">
        <v>0</v>
      </c>
      <c r="Z28" s="3">
        <v>0</v>
      </c>
      <c r="AA28" s="5">
        <v>0</v>
      </c>
      <c r="AB28" s="4">
        <v>0</v>
      </c>
      <c r="AC28" s="3">
        <v>0</v>
      </c>
      <c r="AD28" s="3">
        <v>0</v>
      </c>
      <c r="AE28" s="5">
        <v>0</v>
      </c>
      <c r="AF28" s="3">
        <v>0</v>
      </c>
      <c r="AG28" s="3">
        <v>0</v>
      </c>
      <c r="AH28" s="3">
        <v>0</v>
      </c>
      <c r="AI28" s="17">
        <v>0</v>
      </c>
      <c r="AJ28" s="16">
        <v>0</v>
      </c>
      <c r="AK28" s="3">
        <v>0</v>
      </c>
      <c r="AL28" s="3">
        <v>0</v>
      </c>
      <c r="AM28" s="3">
        <v>0</v>
      </c>
      <c r="AN28" s="4">
        <v>0</v>
      </c>
      <c r="AO28" s="3">
        <v>0</v>
      </c>
      <c r="AP28" s="3">
        <v>0</v>
      </c>
      <c r="AQ28" s="5">
        <v>0</v>
      </c>
      <c r="AR28" s="4">
        <v>0</v>
      </c>
      <c r="AS28" s="3">
        <v>0</v>
      </c>
      <c r="AT28" s="3">
        <v>0</v>
      </c>
      <c r="AU28" s="5">
        <v>0</v>
      </c>
      <c r="AV28" s="3">
        <v>0</v>
      </c>
      <c r="AW28" s="3">
        <v>0</v>
      </c>
      <c r="AX28" s="3">
        <v>0</v>
      </c>
      <c r="AY28" s="17">
        <v>0</v>
      </c>
      <c r="AZ28" s="16">
        <v>0</v>
      </c>
      <c r="BA28" s="3">
        <v>0</v>
      </c>
      <c r="BB28" s="3">
        <v>0</v>
      </c>
      <c r="BC28" s="3">
        <v>0</v>
      </c>
      <c r="BD28" s="4">
        <v>0</v>
      </c>
      <c r="BE28" s="3">
        <v>0</v>
      </c>
      <c r="BF28" s="3">
        <v>0</v>
      </c>
      <c r="BG28" s="5">
        <v>0</v>
      </c>
      <c r="BH28" s="4">
        <v>0</v>
      </c>
      <c r="BI28" s="3">
        <v>0</v>
      </c>
      <c r="BJ28" s="3">
        <v>0</v>
      </c>
      <c r="BK28" s="5">
        <v>0</v>
      </c>
      <c r="BL28" s="3">
        <v>0</v>
      </c>
      <c r="BM28" s="3">
        <v>0</v>
      </c>
      <c r="BN28" s="3">
        <v>0</v>
      </c>
      <c r="BO28" s="17">
        <v>0</v>
      </c>
    </row>
    <row r="29" spans="1:67" s="10" customFormat="1" x14ac:dyDescent="0.25">
      <c r="A29" s="14"/>
      <c r="C29" s="10">
        <v>26</v>
      </c>
      <c r="D29" s="14">
        <v>0</v>
      </c>
      <c r="E29" s="10">
        <v>0</v>
      </c>
      <c r="F29" s="10">
        <v>0</v>
      </c>
      <c r="G29" s="10">
        <v>0</v>
      </c>
      <c r="H29" s="1">
        <v>0</v>
      </c>
      <c r="I29" s="10">
        <v>0</v>
      </c>
      <c r="J29" s="10">
        <v>0</v>
      </c>
      <c r="K29" s="2">
        <v>0</v>
      </c>
      <c r="L29" s="1">
        <v>0</v>
      </c>
      <c r="M29" s="10">
        <v>0</v>
      </c>
      <c r="N29" s="10">
        <v>0</v>
      </c>
      <c r="O29" s="2">
        <v>0</v>
      </c>
      <c r="P29" s="10">
        <v>0</v>
      </c>
      <c r="Q29" s="10">
        <v>0</v>
      </c>
      <c r="R29" s="10">
        <v>0</v>
      </c>
      <c r="S29" s="15">
        <v>0</v>
      </c>
      <c r="T29" s="14">
        <v>0</v>
      </c>
      <c r="U29" s="10">
        <v>0</v>
      </c>
      <c r="V29" s="10">
        <v>0</v>
      </c>
      <c r="W29" s="10">
        <v>0</v>
      </c>
      <c r="X29" s="1">
        <v>0</v>
      </c>
      <c r="Y29" s="10">
        <v>0</v>
      </c>
      <c r="Z29" s="10">
        <v>0</v>
      </c>
      <c r="AA29" s="2">
        <v>0</v>
      </c>
      <c r="AB29" s="1">
        <v>0</v>
      </c>
      <c r="AC29" s="10">
        <v>0</v>
      </c>
      <c r="AD29" s="10">
        <v>0</v>
      </c>
      <c r="AE29" s="2">
        <v>0</v>
      </c>
      <c r="AF29" s="10">
        <v>0</v>
      </c>
      <c r="AG29" s="10">
        <v>0</v>
      </c>
      <c r="AH29" s="10">
        <v>0</v>
      </c>
      <c r="AI29" s="15">
        <v>0</v>
      </c>
      <c r="AJ29" s="14">
        <v>0</v>
      </c>
      <c r="AK29" s="10">
        <v>0</v>
      </c>
      <c r="AL29" s="10">
        <v>0</v>
      </c>
      <c r="AM29" s="10">
        <v>0</v>
      </c>
      <c r="AN29" s="1">
        <v>0</v>
      </c>
      <c r="AO29" s="10">
        <v>0</v>
      </c>
      <c r="AP29" s="10">
        <v>0</v>
      </c>
      <c r="AQ29" s="2">
        <v>0</v>
      </c>
      <c r="AR29" s="1">
        <v>0</v>
      </c>
      <c r="AS29" s="10">
        <v>0</v>
      </c>
      <c r="AT29" s="10">
        <v>0</v>
      </c>
      <c r="AU29" s="2">
        <v>0</v>
      </c>
      <c r="AV29" s="10">
        <v>0</v>
      </c>
      <c r="AW29" s="10">
        <v>0</v>
      </c>
      <c r="AX29" s="10">
        <v>0</v>
      </c>
      <c r="AY29" s="15">
        <v>0</v>
      </c>
      <c r="AZ29" s="14">
        <v>0</v>
      </c>
      <c r="BA29" s="10">
        <v>0</v>
      </c>
      <c r="BB29" s="10">
        <v>0</v>
      </c>
      <c r="BC29" s="10">
        <v>0</v>
      </c>
      <c r="BD29" s="1">
        <v>0</v>
      </c>
      <c r="BE29" s="10">
        <v>0</v>
      </c>
      <c r="BF29" s="10">
        <v>0</v>
      </c>
      <c r="BG29" s="2">
        <v>0</v>
      </c>
      <c r="BH29" s="1">
        <v>0</v>
      </c>
      <c r="BI29" s="10">
        <v>0</v>
      </c>
      <c r="BJ29" s="10">
        <v>0</v>
      </c>
      <c r="BK29" s="2">
        <v>0</v>
      </c>
      <c r="BL29" s="10">
        <v>0</v>
      </c>
      <c r="BM29" s="10">
        <v>0</v>
      </c>
      <c r="BN29" s="10">
        <v>0</v>
      </c>
      <c r="BO29" s="15">
        <v>0</v>
      </c>
    </row>
    <row r="30" spans="1:67" s="10" customFormat="1" x14ac:dyDescent="0.25">
      <c r="A30" s="14"/>
      <c r="C30" s="10">
        <v>27</v>
      </c>
      <c r="D30" s="14">
        <v>0</v>
      </c>
      <c r="E30" s="10">
        <v>0</v>
      </c>
      <c r="F30" s="10">
        <v>0</v>
      </c>
      <c r="G30" s="10">
        <v>0</v>
      </c>
      <c r="H30" s="1">
        <v>0</v>
      </c>
      <c r="I30" s="10">
        <v>0</v>
      </c>
      <c r="J30" s="10">
        <v>0</v>
      </c>
      <c r="K30" s="2">
        <v>0</v>
      </c>
      <c r="L30" s="1">
        <v>0</v>
      </c>
      <c r="M30" s="10">
        <v>0</v>
      </c>
      <c r="N30" s="10">
        <v>0</v>
      </c>
      <c r="O30" s="2">
        <v>0</v>
      </c>
      <c r="P30" s="10">
        <v>0</v>
      </c>
      <c r="Q30" s="10">
        <v>0</v>
      </c>
      <c r="R30" s="10">
        <v>0</v>
      </c>
      <c r="S30" s="15">
        <v>0</v>
      </c>
      <c r="T30" s="14">
        <v>0</v>
      </c>
      <c r="U30" s="10">
        <v>0</v>
      </c>
      <c r="V30" s="10">
        <v>0</v>
      </c>
      <c r="W30" s="10">
        <v>0</v>
      </c>
      <c r="X30" s="1">
        <v>0</v>
      </c>
      <c r="Y30" s="10">
        <v>0</v>
      </c>
      <c r="Z30" s="10">
        <v>0</v>
      </c>
      <c r="AA30" s="2">
        <v>0</v>
      </c>
      <c r="AB30" s="1">
        <v>0</v>
      </c>
      <c r="AC30" s="10">
        <v>0</v>
      </c>
      <c r="AD30" s="10">
        <v>0</v>
      </c>
      <c r="AE30" s="2">
        <v>0</v>
      </c>
      <c r="AF30" s="10">
        <v>0</v>
      </c>
      <c r="AG30" s="10">
        <v>0</v>
      </c>
      <c r="AH30" s="10">
        <v>0</v>
      </c>
      <c r="AI30" s="15">
        <v>0</v>
      </c>
      <c r="AJ30" s="14">
        <v>0</v>
      </c>
      <c r="AK30" s="10">
        <v>0</v>
      </c>
      <c r="AL30" s="10">
        <v>0</v>
      </c>
      <c r="AM30" s="10">
        <v>0</v>
      </c>
      <c r="AN30" s="1">
        <v>0</v>
      </c>
      <c r="AO30" s="10">
        <v>0</v>
      </c>
      <c r="AP30" s="10">
        <v>0</v>
      </c>
      <c r="AQ30" s="2">
        <v>0</v>
      </c>
      <c r="AR30" s="1">
        <v>0</v>
      </c>
      <c r="AS30" s="10">
        <v>0</v>
      </c>
      <c r="AT30" s="10">
        <v>0</v>
      </c>
      <c r="AU30" s="2">
        <v>0</v>
      </c>
      <c r="AV30" s="10">
        <v>0</v>
      </c>
      <c r="AW30" s="10">
        <v>0</v>
      </c>
      <c r="AX30" s="10">
        <v>0</v>
      </c>
      <c r="AY30" s="15">
        <v>0</v>
      </c>
      <c r="AZ30" s="14">
        <v>0</v>
      </c>
      <c r="BA30" s="10">
        <v>0</v>
      </c>
      <c r="BB30" s="10">
        <v>0</v>
      </c>
      <c r="BC30" s="10">
        <v>0</v>
      </c>
      <c r="BD30" s="1">
        <v>0</v>
      </c>
      <c r="BE30" s="10">
        <v>0</v>
      </c>
      <c r="BF30" s="10">
        <v>0</v>
      </c>
      <c r="BG30" s="2">
        <v>0</v>
      </c>
      <c r="BH30" s="1">
        <v>0</v>
      </c>
      <c r="BI30" s="10">
        <v>0</v>
      </c>
      <c r="BJ30" s="10">
        <v>0</v>
      </c>
      <c r="BK30" s="2">
        <v>0</v>
      </c>
      <c r="BL30" s="10">
        <v>0</v>
      </c>
      <c r="BM30" s="10">
        <v>0</v>
      </c>
      <c r="BN30" s="10">
        <v>0</v>
      </c>
      <c r="BO30" s="15">
        <v>0</v>
      </c>
    </row>
    <row r="31" spans="1:67" s="6" customFormat="1" x14ac:dyDescent="0.25">
      <c r="A31" s="18"/>
      <c r="C31" s="6">
        <v>28</v>
      </c>
      <c r="D31" s="18">
        <v>0</v>
      </c>
      <c r="E31" s="6">
        <v>0</v>
      </c>
      <c r="F31" s="6">
        <v>0</v>
      </c>
      <c r="G31" s="6">
        <v>0</v>
      </c>
      <c r="H31" s="7">
        <v>0</v>
      </c>
      <c r="I31" s="6">
        <v>0</v>
      </c>
      <c r="J31" s="6">
        <v>0</v>
      </c>
      <c r="K31" s="8">
        <v>0</v>
      </c>
      <c r="L31" s="7">
        <v>0</v>
      </c>
      <c r="M31" s="6">
        <v>0</v>
      </c>
      <c r="N31" s="6">
        <v>0</v>
      </c>
      <c r="O31" s="8">
        <v>0</v>
      </c>
      <c r="P31" s="6">
        <v>0</v>
      </c>
      <c r="Q31" s="6">
        <v>0</v>
      </c>
      <c r="R31" s="6">
        <v>0</v>
      </c>
      <c r="S31" s="19">
        <v>0</v>
      </c>
      <c r="T31" s="18">
        <v>0</v>
      </c>
      <c r="U31" s="6">
        <v>0</v>
      </c>
      <c r="V31" s="6">
        <v>0</v>
      </c>
      <c r="W31" s="6">
        <v>0</v>
      </c>
      <c r="X31" s="7">
        <v>0</v>
      </c>
      <c r="Y31" s="6">
        <v>0</v>
      </c>
      <c r="Z31" s="6">
        <v>0</v>
      </c>
      <c r="AA31" s="8">
        <v>0</v>
      </c>
      <c r="AB31" s="7">
        <v>0</v>
      </c>
      <c r="AC31" s="6">
        <v>0</v>
      </c>
      <c r="AD31" s="6">
        <v>0</v>
      </c>
      <c r="AE31" s="8">
        <v>0</v>
      </c>
      <c r="AF31" s="6">
        <v>0</v>
      </c>
      <c r="AG31" s="6">
        <v>0</v>
      </c>
      <c r="AH31" s="6">
        <v>0</v>
      </c>
      <c r="AI31" s="19">
        <v>0</v>
      </c>
      <c r="AJ31" s="18">
        <v>0</v>
      </c>
      <c r="AK31" s="6">
        <v>0</v>
      </c>
      <c r="AL31" s="6">
        <v>0</v>
      </c>
      <c r="AM31" s="6">
        <v>0</v>
      </c>
      <c r="AN31" s="7">
        <v>0</v>
      </c>
      <c r="AO31" s="6">
        <v>0</v>
      </c>
      <c r="AP31" s="6">
        <v>0</v>
      </c>
      <c r="AQ31" s="8">
        <v>0</v>
      </c>
      <c r="AR31" s="7">
        <v>0</v>
      </c>
      <c r="AS31" s="6">
        <v>0</v>
      </c>
      <c r="AT31" s="6">
        <v>0</v>
      </c>
      <c r="AU31" s="8">
        <v>0</v>
      </c>
      <c r="AV31" s="6">
        <v>0</v>
      </c>
      <c r="AW31" s="6">
        <v>0</v>
      </c>
      <c r="AX31" s="6">
        <v>0</v>
      </c>
      <c r="AY31" s="19">
        <v>0</v>
      </c>
      <c r="AZ31" s="18">
        <v>0</v>
      </c>
      <c r="BA31" s="6">
        <v>0</v>
      </c>
      <c r="BB31" s="6">
        <v>0</v>
      </c>
      <c r="BC31" s="6">
        <v>0</v>
      </c>
      <c r="BD31" s="7">
        <v>0</v>
      </c>
      <c r="BE31" s="6">
        <v>0</v>
      </c>
      <c r="BF31" s="6">
        <v>0</v>
      </c>
      <c r="BG31" s="8">
        <v>0</v>
      </c>
      <c r="BH31" s="7">
        <v>0</v>
      </c>
      <c r="BI31" s="6">
        <v>0</v>
      </c>
      <c r="BJ31" s="6">
        <v>0</v>
      </c>
      <c r="BK31" s="8">
        <v>0</v>
      </c>
      <c r="BL31" s="6">
        <v>0</v>
      </c>
      <c r="BM31" s="6">
        <v>0</v>
      </c>
      <c r="BN31" s="6">
        <v>0</v>
      </c>
      <c r="BO31" s="19">
        <v>0</v>
      </c>
    </row>
    <row r="32" spans="1:67" s="10" customFormat="1" x14ac:dyDescent="0.25">
      <c r="A32" s="14"/>
      <c r="C32" s="10">
        <v>29</v>
      </c>
      <c r="D32" s="14">
        <v>0</v>
      </c>
      <c r="E32" s="10">
        <v>0</v>
      </c>
      <c r="F32" s="10">
        <v>0</v>
      </c>
      <c r="G32" s="10">
        <v>0</v>
      </c>
      <c r="H32" s="1">
        <v>0</v>
      </c>
      <c r="I32" s="10">
        <v>0</v>
      </c>
      <c r="J32" s="10">
        <v>0</v>
      </c>
      <c r="K32" s="2">
        <v>0</v>
      </c>
      <c r="L32" s="1">
        <v>0</v>
      </c>
      <c r="M32" s="10">
        <v>0</v>
      </c>
      <c r="N32" s="10">
        <v>0</v>
      </c>
      <c r="O32" s="2">
        <v>0</v>
      </c>
      <c r="P32" s="10">
        <v>0</v>
      </c>
      <c r="Q32" s="10">
        <v>0</v>
      </c>
      <c r="R32" s="10">
        <v>0</v>
      </c>
      <c r="S32" s="15">
        <v>0</v>
      </c>
      <c r="T32" s="14">
        <v>0</v>
      </c>
      <c r="U32" s="10">
        <v>0</v>
      </c>
      <c r="V32" s="10">
        <v>0</v>
      </c>
      <c r="W32" s="10">
        <v>0</v>
      </c>
      <c r="X32" s="1">
        <v>0</v>
      </c>
      <c r="Y32" s="10">
        <v>0</v>
      </c>
      <c r="Z32" s="10">
        <v>0</v>
      </c>
      <c r="AA32" s="2">
        <v>0</v>
      </c>
      <c r="AB32" s="1">
        <v>0</v>
      </c>
      <c r="AC32" s="10">
        <v>0</v>
      </c>
      <c r="AD32" s="10">
        <v>0</v>
      </c>
      <c r="AE32" s="2">
        <v>0</v>
      </c>
      <c r="AF32" s="10">
        <v>0</v>
      </c>
      <c r="AG32" s="10">
        <v>0</v>
      </c>
      <c r="AH32" s="10">
        <v>0</v>
      </c>
      <c r="AI32" s="15">
        <v>0</v>
      </c>
      <c r="AJ32" s="14">
        <v>0</v>
      </c>
      <c r="AK32" s="10">
        <v>0</v>
      </c>
      <c r="AL32" s="10">
        <v>0</v>
      </c>
      <c r="AM32" s="10">
        <v>0</v>
      </c>
      <c r="AN32" s="1">
        <v>0</v>
      </c>
      <c r="AO32" s="10">
        <v>0</v>
      </c>
      <c r="AP32" s="10">
        <v>0</v>
      </c>
      <c r="AQ32" s="2">
        <v>0</v>
      </c>
      <c r="AR32" s="1">
        <v>0</v>
      </c>
      <c r="AS32" s="10">
        <v>0</v>
      </c>
      <c r="AT32" s="10">
        <v>0</v>
      </c>
      <c r="AU32" s="2">
        <v>0</v>
      </c>
      <c r="AV32" s="10">
        <v>0</v>
      </c>
      <c r="AW32" s="10">
        <v>0</v>
      </c>
      <c r="AX32" s="10">
        <v>0</v>
      </c>
      <c r="AY32" s="15">
        <v>0</v>
      </c>
      <c r="AZ32" s="14">
        <v>0</v>
      </c>
      <c r="BA32" s="10">
        <v>0</v>
      </c>
      <c r="BB32" s="10">
        <v>0</v>
      </c>
      <c r="BC32" s="10">
        <v>0</v>
      </c>
      <c r="BD32" s="1">
        <v>0</v>
      </c>
      <c r="BE32" s="10">
        <v>0</v>
      </c>
      <c r="BF32" s="10">
        <v>0</v>
      </c>
      <c r="BG32" s="2">
        <v>0</v>
      </c>
      <c r="BH32" s="1">
        <v>0</v>
      </c>
      <c r="BI32" s="10">
        <v>0</v>
      </c>
      <c r="BJ32" s="10">
        <v>0</v>
      </c>
      <c r="BK32" s="2">
        <v>0</v>
      </c>
      <c r="BL32" s="10">
        <v>0</v>
      </c>
      <c r="BM32" s="10">
        <v>0</v>
      </c>
      <c r="BN32" s="10">
        <v>0</v>
      </c>
      <c r="BO32" s="15">
        <v>0</v>
      </c>
    </row>
    <row r="33" spans="1:67" s="10" customFormat="1" x14ac:dyDescent="0.25">
      <c r="A33" s="14"/>
      <c r="C33" s="10">
        <v>30</v>
      </c>
      <c r="D33" s="14">
        <v>0</v>
      </c>
      <c r="E33" s="10">
        <v>0</v>
      </c>
      <c r="F33" s="10">
        <v>0</v>
      </c>
      <c r="G33" s="10">
        <v>0</v>
      </c>
      <c r="H33" s="1">
        <v>0</v>
      </c>
      <c r="I33" s="10">
        <v>0</v>
      </c>
      <c r="J33" s="10">
        <v>0</v>
      </c>
      <c r="K33" s="2">
        <v>0</v>
      </c>
      <c r="L33" s="1">
        <v>0</v>
      </c>
      <c r="M33" s="10">
        <v>0</v>
      </c>
      <c r="N33" s="10">
        <v>0</v>
      </c>
      <c r="O33" s="2">
        <v>0</v>
      </c>
      <c r="P33" s="10">
        <v>0</v>
      </c>
      <c r="Q33" s="10">
        <v>0</v>
      </c>
      <c r="R33" s="10">
        <v>0</v>
      </c>
      <c r="S33" s="15">
        <v>0</v>
      </c>
      <c r="T33" s="14">
        <v>0</v>
      </c>
      <c r="U33" s="10">
        <v>0</v>
      </c>
      <c r="V33" s="10">
        <v>0</v>
      </c>
      <c r="W33" s="10">
        <v>0</v>
      </c>
      <c r="X33" s="1">
        <v>0</v>
      </c>
      <c r="Y33" s="10">
        <v>0</v>
      </c>
      <c r="Z33" s="10">
        <v>0</v>
      </c>
      <c r="AA33" s="2">
        <v>0</v>
      </c>
      <c r="AB33" s="1">
        <v>0</v>
      </c>
      <c r="AC33" s="10">
        <v>0</v>
      </c>
      <c r="AD33" s="10">
        <v>0</v>
      </c>
      <c r="AE33" s="2">
        <v>0</v>
      </c>
      <c r="AF33" s="10">
        <v>0</v>
      </c>
      <c r="AG33" s="10">
        <v>0</v>
      </c>
      <c r="AH33" s="10">
        <v>0</v>
      </c>
      <c r="AI33" s="15">
        <v>0</v>
      </c>
      <c r="AJ33" s="14">
        <v>0</v>
      </c>
      <c r="AK33" s="10">
        <v>0</v>
      </c>
      <c r="AL33" s="10">
        <v>0</v>
      </c>
      <c r="AM33" s="10">
        <v>0</v>
      </c>
      <c r="AN33" s="1">
        <v>0</v>
      </c>
      <c r="AO33" s="10">
        <v>0</v>
      </c>
      <c r="AP33" s="10">
        <v>0</v>
      </c>
      <c r="AQ33" s="2">
        <v>0</v>
      </c>
      <c r="AR33" s="1">
        <v>0</v>
      </c>
      <c r="AS33" s="10">
        <v>0</v>
      </c>
      <c r="AT33" s="10">
        <v>0</v>
      </c>
      <c r="AU33" s="2">
        <v>0</v>
      </c>
      <c r="AV33" s="10">
        <v>0</v>
      </c>
      <c r="AW33" s="10">
        <v>0</v>
      </c>
      <c r="AX33" s="10">
        <v>0</v>
      </c>
      <c r="AY33" s="15">
        <v>0</v>
      </c>
      <c r="AZ33" s="14">
        <v>0</v>
      </c>
      <c r="BA33" s="10">
        <v>0</v>
      </c>
      <c r="BB33" s="10">
        <v>0</v>
      </c>
      <c r="BC33" s="10">
        <v>0</v>
      </c>
      <c r="BD33" s="1">
        <v>0</v>
      </c>
      <c r="BE33" s="10">
        <v>0</v>
      </c>
      <c r="BF33" s="10">
        <v>0</v>
      </c>
      <c r="BG33" s="2">
        <v>0</v>
      </c>
      <c r="BH33" s="1">
        <v>0</v>
      </c>
      <c r="BI33" s="10">
        <v>0</v>
      </c>
      <c r="BJ33" s="10">
        <v>0</v>
      </c>
      <c r="BK33" s="2">
        <v>0</v>
      </c>
      <c r="BL33" s="10">
        <v>0</v>
      </c>
      <c r="BM33" s="10">
        <v>0</v>
      </c>
      <c r="BN33" s="10">
        <v>0</v>
      </c>
      <c r="BO33" s="15">
        <v>0</v>
      </c>
    </row>
    <row r="34" spans="1:67" s="10" customFormat="1" x14ac:dyDescent="0.25">
      <c r="A34" s="14"/>
      <c r="C34" s="10">
        <v>31</v>
      </c>
      <c r="D34" s="14">
        <v>0</v>
      </c>
      <c r="E34" s="10">
        <v>0</v>
      </c>
      <c r="F34" s="10">
        <v>0</v>
      </c>
      <c r="G34" s="10">
        <v>0</v>
      </c>
      <c r="H34" s="1">
        <v>0</v>
      </c>
      <c r="I34" s="10">
        <v>0</v>
      </c>
      <c r="J34" s="10">
        <v>0</v>
      </c>
      <c r="K34" s="2">
        <v>0</v>
      </c>
      <c r="L34" s="1">
        <v>0</v>
      </c>
      <c r="M34" s="10">
        <v>0</v>
      </c>
      <c r="N34" s="10">
        <v>0</v>
      </c>
      <c r="O34" s="2">
        <v>0</v>
      </c>
      <c r="P34" s="10">
        <v>0</v>
      </c>
      <c r="Q34" s="10">
        <v>0</v>
      </c>
      <c r="R34" s="10">
        <v>0</v>
      </c>
      <c r="S34" s="15">
        <v>0</v>
      </c>
      <c r="T34" s="14">
        <v>0</v>
      </c>
      <c r="U34" s="10">
        <v>0</v>
      </c>
      <c r="V34" s="10">
        <v>0</v>
      </c>
      <c r="W34" s="10">
        <v>0</v>
      </c>
      <c r="X34" s="1">
        <v>0</v>
      </c>
      <c r="Y34" s="10">
        <v>0</v>
      </c>
      <c r="Z34" s="10">
        <v>0</v>
      </c>
      <c r="AA34" s="2">
        <v>0</v>
      </c>
      <c r="AB34" s="1">
        <v>0</v>
      </c>
      <c r="AC34" s="10">
        <v>0</v>
      </c>
      <c r="AD34" s="10">
        <v>0</v>
      </c>
      <c r="AE34" s="2">
        <v>0</v>
      </c>
      <c r="AF34" s="10">
        <v>0</v>
      </c>
      <c r="AG34" s="10">
        <v>0</v>
      </c>
      <c r="AH34" s="10">
        <v>0</v>
      </c>
      <c r="AI34" s="15">
        <v>0</v>
      </c>
      <c r="AJ34" s="14">
        <v>0</v>
      </c>
      <c r="AK34" s="10">
        <v>0</v>
      </c>
      <c r="AL34" s="10">
        <v>0</v>
      </c>
      <c r="AM34" s="10">
        <v>0</v>
      </c>
      <c r="AN34" s="1">
        <v>0</v>
      </c>
      <c r="AO34" s="10">
        <v>0</v>
      </c>
      <c r="AP34" s="10">
        <v>0</v>
      </c>
      <c r="AQ34" s="2">
        <v>0</v>
      </c>
      <c r="AR34" s="1">
        <v>0</v>
      </c>
      <c r="AS34" s="10">
        <v>0</v>
      </c>
      <c r="AT34" s="10">
        <v>0</v>
      </c>
      <c r="AU34" s="2">
        <v>0</v>
      </c>
      <c r="AV34" s="10">
        <v>0</v>
      </c>
      <c r="AW34" s="10">
        <v>0</v>
      </c>
      <c r="AX34" s="10">
        <v>0</v>
      </c>
      <c r="AY34" s="15">
        <v>0</v>
      </c>
      <c r="AZ34" s="14">
        <v>0</v>
      </c>
      <c r="BA34" s="10">
        <v>0</v>
      </c>
      <c r="BB34" s="10">
        <v>0</v>
      </c>
      <c r="BC34" s="10">
        <v>0</v>
      </c>
      <c r="BD34" s="1">
        <v>0</v>
      </c>
      <c r="BE34" s="10">
        <v>0</v>
      </c>
      <c r="BF34" s="10">
        <v>0</v>
      </c>
      <c r="BG34" s="2">
        <v>0</v>
      </c>
      <c r="BH34" s="1">
        <v>0</v>
      </c>
      <c r="BI34" s="10">
        <v>0</v>
      </c>
      <c r="BJ34" s="10">
        <v>0</v>
      </c>
      <c r="BK34" s="2">
        <v>0</v>
      </c>
      <c r="BL34" s="10">
        <v>0</v>
      </c>
      <c r="BM34" s="10">
        <v>0</v>
      </c>
      <c r="BN34" s="10">
        <v>0</v>
      </c>
      <c r="BO34" s="15">
        <v>0</v>
      </c>
    </row>
    <row r="35" spans="1:67" s="23" customFormat="1" ht="15.75" thickBot="1" x14ac:dyDescent="0.3">
      <c r="A35" s="22"/>
      <c r="C35" s="23">
        <v>32</v>
      </c>
      <c r="D35" s="22">
        <v>0</v>
      </c>
      <c r="E35" s="23">
        <v>0</v>
      </c>
      <c r="F35" s="23">
        <v>0</v>
      </c>
      <c r="G35" s="23">
        <v>0</v>
      </c>
      <c r="H35" s="24">
        <v>0</v>
      </c>
      <c r="I35" s="23">
        <v>0</v>
      </c>
      <c r="J35" s="23">
        <v>0</v>
      </c>
      <c r="K35" s="25">
        <v>0</v>
      </c>
      <c r="L35" s="24">
        <v>0</v>
      </c>
      <c r="M35" s="23">
        <v>0</v>
      </c>
      <c r="N35" s="23">
        <v>0</v>
      </c>
      <c r="O35" s="25">
        <v>0</v>
      </c>
      <c r="P35" s="23">
        <v>0</v>
      </c>
      <c r="Q35" s="23">
        <v>0</v>
      </c>
      <c r="R35" s="23">
        <v>0</v>
      </c>
      <c r="S35" s="26">
        <v>0</v>
      </c>
      <c r="T35" s="22">
        <v>0</v>
      </c>
      <c r="U35" s="23">
        <v>0</v>
      </c>
      <c r="V35" s="23">
        <v>0</v>
      </c>
      <c r="W35" s="23">
        <v>0</v>
      </c>
      <c r="X35" s="24">
        <v>0</v>
      </c>
      <c r="Y35" s="23">
        <v>0</v>
      </c>
      <c r="Z35" s="23">
        <v>0</v>
      </c>
      <c r="AA35" s="25">
        <v>0</v>
      </c>
      <c r="AB35" s="24">
        <v>0</v>
      </c>
      <c r="AC35" s="23">
        <v>0</v>
      </c>
      <c r="AD35" s="23">
        <v>0</v>
      </c>
      <c r="AE35" s="25">
        <v>0</v>
      </c>
      <c r="AF35" s="23">
        <v>0</v>
      </c>
      <c r="AG35" s="23">
        <v>0</v>
      </c>
      <c r="AH35" s="23">
        <v>0</v>
      </c>
      <c r="AI35" s="26">
        <v>0</v>
      </c>
      <c r="AJ35" s="22">
        <v>0</v>
      </c>
      <c r="AK35" s="23">
        <v>0</v>
      </c>
      <c r="AL35" s="23">
        <v>0</v>
      </c>
      <c r="AM35" s="23">
        <v>0</v>
      </c>
      <c r="AN35" s="24">
        <v>0</v>
      </c>
      <c r="AO35" s="23">
        <v>0</v>
      </c>
      <c r="AP35" s="23">
        <v>0</v>
      </c>
      <c r="AQ35" s="25">
        <v>0</v>
      </c>
      <c r="AR35" s="24">
        <v>0</v>
      </c>
      <c r="AS35" s="23">
        <v>0</v>
      </c>
      <c r="AT35" s="23">
        <v>0</v>
      </c>
      <c r="AU35" s="25">
        <v>0</v>
      </c>
      <c r="AV35" s="23">
        <v>0</v>
      </c>
      <c r="AW35" s="23">
        <v>0</v>
      </c>
      <c r="AX35" s="23">
        <v>0</v>
      </c>
      <c r="AY35" s="26">
        <v>0</v>
      </c>
      <c r="AZ35" s="22">
        <v>0</v>
      </c>
      <c r="BA35" s="23">
        <v>0</v>
      </c>
      <c r="BB35" s="23">
        <v>0</v>
      </c>
      <c r="BC35" s="23">
        <v>0</v>
      </c>
      <c r="BD35" s="24">
        <v>0</v>
      </c>
      <c r="BE35" s="23">
        <v>0</v>
      </c>
      <c r="BF35" s="23">
        <v>0</v>
      </c>
      <c r="BG35" s="25">
        <v>0</v>
      </c>
      <c r="BH35" s="24">
        <v>0</v>
      </c>
      <c r="BI35" s="23">
        <v>0</v>
      </c>
      <c r="BJ35" s="23">
        <v>0</v>
      </c>
      <c r="BK35" s="25">
        <v>0</v>
      </c>
      <c r="BL35" s="23">
        <v>0</v>
      </c>
      <c r="BM35" s="23">
        <v>0</v>
      </c>
      <c r="BN35" s="23">
        <v>0</v>
      </c>
      <c r="BO35" s="26">
        <v>0</v>
      </c>
    </row>
    <row r="36" spans="1:67" s="12" customFormat="1" x14ac:dyDescent="0.25">
      <c r="A36" s="11"/>
      <c r="C36" s="12">
        <v>33</v>
      </c>
      <c r="D36" s="11">
        <v>0</v>
      </c>
      <c r="E36" s="12">
        <v>0</v>
      </c>
      <c r="F36" s="12">
        <v>0</v>
      </c>
      <c r="G36" s="12">
        <v>0</v>
      </c>
      <c r="H36" s="20">
        <v>0</v>
      </c>
      <c r="I36" s="12">
        <v>0</v>
      </c>
      <c r="J36" s="12">
        <v>0</v>
      </c>
      <c r="K36" s="21">
        <v>0</v>
      </c>
      <c r="L36" s="20">
        <v>0</v>
      </c>
      <c r="M36" s="12">
        <v>0</v>
      </c>
      <c r="N36" s="12">
        <v>0</v>
      </c>
      <c r="O36" s="21">
        <v>0</v>
      </c>
      <c r="P36" s="12">
        <v>0</v>
      </c>
      <c r="Q36" s="12">
        <v>0</v>
      </c>
      <c r="R36" s="12">
        <v>0</v>
      </c>
      <c r="S36" s="13">
        <v>0</v>
      </c>
      <c r="T36" s="11">
        <v>0</v>
      </c>
      <c r="U36" s="12">
        <v>0</v>
      </c>
      <c r="V36" s="12">
        <v>0</v>
      </c>
      <c r="W36" s="12">
        <v>0</v>
      </c>
      <c r="X36" s="20">
        <v>0</v>
      </c>
      <c r="Y36" s="12">
        <v>0</v>
      </c>
      <c r="Z36" s="12">
        <v>0</v>
      </c>
      <c r="AA36" s="21">
        <v>0</v>
      </c>
      <c r="AB36" s="20">
        <v>0</v>
      </c>
      <c r="AC36" s="12">
        <v>0</v>
      </c>
      <c r="AD36" s="12">
        <v>0</v>
      </c>
      <c r="AE36" s="21">
        <v>0</v>
      </c>
      <c r="AF36" s="12">
        <v>0</v>
      </c>
      <c r="AG36" s="12">
        <v>0</v>
      </c>
      <c r="AH36" s="12">
        <v>0</v>
      </c>
      <c r="AI36" s="13">
        <v>0</v>
      </c>
      <c r="AJ36" s="11">
        <v>0</v>
      </c>
      <c r="AK36" s="12">
        <v>0</v>
      </c>
      <c r="AL36" s="12">
        <v>0</v>
      </c>
      <c r="AM36" s="12">
        <v>0</v>
      </c>
      <c r="AN36" s="20">
        <v>0</v>
      </c>
      <c r="AO36" s="12">
        <v>0</v>
      </c>
      <c r="AP36" s="12">
        <v>0</v>
      </c>
      <c r="AQ36" s="21">
        <v>0</v>
      </c>
      <c r="AR36" s="20">
        <v>0</v>
      </c>
      <c r="AS36" s="12">
        <v>0</v>
      </c>
      <c r="AT36" s="12">
        <v>0</v>
      </c>
      <c r="AU36" s="21">
        <v>0</v>
      </c>
      <c r="AV36" s="12">
        <v>0</v>
      </c>
      <c r="AW36" s="12">
        <v>0</v>
      </c>
      <c r="AX36" s="12">
        <v>0</v>
      </c>
      <c r="AY36" s="13">
        <v>0</v>
      </c>
      <c r="AZ36" s="11">
        <v>0</v>
      </c>
      <c r="BA36" s="12">
        <v>0</v>
      </c>
      <c r="BB36" s="12">
        <v>0</v>
      </c>
      <c r="BC36" s="12">
        <v>0</v>
      </c>
      <c r="BD36" s="20">
        <v>0</v>
      </c>
      <c r="BE36" s="12">
        <v>0</v>
      </c>
      <c r="BF36" s="12">
        <v>0</v>
      </c>
      <c r="BG36" s="21">
        <v>0</v>
      </c>
      <c r="BH36" s="20">
        <v>0</v>
      </c>
      <c r="BI36" s="12">
        <v>0</v>
      </c>
      <c r="BJ36" s="12">
        <v>0</v>
      </c>
      <c r="BK36" s="21">
        <v>0</v>
      </c>
      <c r="BL36" s="12">
        <v>0</v>
      </c>
      <c r="BM36" s="12">
        <v>0</v>
      </c>
      <c r="BN36" s="12">
        <v>0</v>
      </c>
      <c r="BO36" s="13">
        <v>0</v>
      </c>
    </row>
    <row r="37" spans="1:67" s="10" customFormat="1" x14ac:dyDescent="0.25">
      <c r="A37" s="14"/>
      <c r="C37" s="10">
        <v>34</v>
      </c>
      <c r="D37" s="14">
        <v>0</v>
      </c>
      <c r="E37" s="10">
        <v>0</v>
      </c>
      <c r="F37" s="10">
        <v>0</v>
      </c>
      <c r="G37" s="10">
        <v>0</v>
      </c>
      <c r="H37" s="1">
        <v>0</v>
      </c>
      <c r="I37" s="10">
        <v>0</v>
      </c>
      <c r="J37" s="10">
        <v>0</v>
      </c>
      <c r="K37" s="2">
        <v>0</v>
      </c>
      <c r="L37" s="1">
        <v>0</v>
      </c>
      <c r="M37" s="10">
        <v>0</v>
      </c>
      <c r="N37" s="10">
        <v>0</v>
      </c>
      <c r="O37" s="2">
        <v>0</v>
      </c>
      <c r="P37" s="10">
        <v>0</v>
      </c>
      <c r="Q37" s="10">
        <v>0</v>
      </c>
      <c r="R37" s="10">
        <v>0</v>
      </c>
      <c r="S37" s="15">
        <v>0</v>
      </c>
      <c r="T37" s="14">
        <v>0</v>
      </c>
      <c r="U37" s="10">
        <v>0</v>
      </c>
      <c r="V37" s="10">
        <v>0</v>
      </c>
      <c r="W37" s="10">
        <v>0</v>
      </c>
      <c r="X37" s="1">
        <v>0</v>
      </c>
      <c r="Y37" s="10">
        <v>0</v>
      </c>
      <c r="Z37" s="10">
        <v>0</v>
      </c>
      <c r="AA37" s="2">
        <v>0</v>
      </c>
      <c r="AB37" s="1">
        <v>0</v>
      </c>
      <c r="AC37" s="10">
        <v>0</v>
      </c>
      <c r="AD37" s="10">
        <v>0</v>
      </c>
      <c r="AE37" s="2">
        <v>0</v>
      </c>
      <c r="AF37" s="10">
        <v>0</v>
      </c>
      <c r="AG37" s="10">
        <v>0</v>
      </c>
      <c r="AH37" s="10">
        <v>0</v>
      </c>
      <c r="AI37" s="15">
        <v>0</v>
      </c>
      <c r="AJ37" s="14">
        <v>0</v>
      </c>
      <c r="AK37" s="10">
        <v>0</v>
      </c>
      <c r="AL37" s="10">
        <v>0</v>
      </c>
      <c r="AM37" s="10">
        <v>0</v>
      </c>
      <c r="AN37" s="1">
        <v>0</v>
      </c>
      <c r="AO37" s="10">
        <v>0</v>
      </c>
      <c r="AP37" s="10">
        <v>0</v>
      </c>
      <c r="AQ37" s="2">
        <v>0</v>
      </c>
      <c r="AR37" s="1">
        <v>0</v>
      </c>
      <c r="AS37" s="10">
        <v>0</v>
      </c>
      <c r="AT37" s="10">
        <v>0</v>
      </c>
      <c r="AU37" s="2">
        <v>0</v>
      </c>
      <c r="AV37" s="10">
        <v>0</v>
      </c>
      <c r="AW37" s="10">
        <v>0</v>
      </c>
      <c r="AX37" s="10">
        <v>0</v>
      </c>
      <c r="AY37" s="15">
        <v>0</v>
      </c>
      <c r="AZ37" s="14">
        <v>0</v>
      </c>
      <c r="BA37" s="10">
        <v>0</v>
      </c>
      <c r="BB37" s="10">
        <v>0</v>
      </c>
      <c r="BC37" s="10">
        <v>0</v>
      </c>
      <c r="BD37" s="1">
        <v>0</v>
      </c>
      <c r="BE37" s="10">
        <v>0</v>
      </c>
      <c r="BF37" s="10">
        <v>0</v>
      </c>
      <c r="BG37" s="2">
        <v>0</v>
      </c>
      <c r="BH37" s="1">
        <v>0</v>
      </c>
      <c r="BI37" s="10">
        <v>0</v>
      </c>
      <c r="BJ37" s="10">
        <v>0</v>
      </c>
      <c r="BK37" s="2">
        <v>0</v>
      </c>
      <c r="BL37" s="10">
        <v>0</v>
      </c>
      <c r="BM37" s="10">
        <v>0</v>
      </c>
      <c r="BN37" s="10">
        <v>0</v>
      </c>
      <c r="BO37" s="15">
        <v>0</v>
      </c>
    </row>
    <row r="38" spans="1:67" s="10" customFormat="1" x14ac:dyDescent="0.25">
      <c r="A38" s="14"/>
      <c r="C38" s="10">
        <v>35</v>
      </c>
      <c r="D38" s="14">
        <v>0</v>
      </c>
      <c r="E38" s="10">
        <v>0</v>
      </c>
      <c r="F38" s="10">
        <v>0</v>
      </c>
      <c r="G38" s="10">
        <v>0</v>
      </c>
      <c r="H38" s="1">
        <v>0</v>
      </c>
      <c r="I38" s="10">
        <v>0</v>
      </c>
      <c r="J38" s="10">
        <v>0</v>
      </c>
      <c r="K38" s="2">
        <v>0</v>
      </c>
      <c r="L38" s="1">
        <v>0</v>
      </c>
      <c r="M38" s="10">
        <v>0</v>
      </c>
      <c r="N38" s="10">
        <v>0</v>
      </c>
      <c r="O38" s="2">
        <v>0</v>
      </c>
      <c r="P38" s="10">
        <v>0</v>
      </c>
      <c r="Q38" s="10">
        <v>0</v>
      </c>
      <c r="R38" s="10">
        <v>0</v>
      </c>
      <c r="S38" s="15">
        <v>0</v>
      </c>
      <c r="T38" s="14">
        <v>0</v>
      </c>
      <c r="U38" s="10">
        <v>0</v>
      </c>
      <c r="V38" s="10">
        <v>0</v>
      </c>
      <c r="W38" s="10">
        <v>0</v>
      </c>
      <c r="X38" s="1">
        <v>0</v>
      </c>
      <c r="Y38" s="10">
        <v>0</v>
      </c>
      <c r="Z38" s="10">
        <v>0</v>
      </c>
      <c r="AA38" s="2">
        <v>0</v>
      </c>
      <c r="AB38" s="1">
        <v>0</v>
      </c>
      <c r="AC38" s="10">
        <v>0</v>
      </c>
      <c r="AD38" s="10">
        <v>0</v>
      </c>
      <c r="AE38" s="2">
        <v>0</v>
      </c>
      <c r="AF38" s="10">
        <v>0</v>
      </c>
      <c r="AG38" s="10">
        <v>0</v>
      </c>
      <c r="AH38" s="10">
        <v>0</v>
      </c>
      <c r="AI38" s="15">
        <v>0</v>
      </c>
      <c r="AJ38" s="14">
        <v>0</v>
      </c>
      <c r="AK38" s="10">
        <v>0</v>
      </c>
      <c r="AL38" s="10">
        <v>0</v>
      </c>
      <c r="AM38" s="10">
        <v>0</v>
      </c>
      <c r="AN38" s="1">
        <v>0</v>
      </c>
      <c r="AO38" s="10">
        <v>0</v>
      </c>
      <c r="AP38" s="10">
        <v>0</v>
      </c>
      <c r="AQ38" s="2">
        <v>0</v>
      </c>
      <c r="AR38" s="1">
        <v>0</v>
      </c>
      <c r="AS38" s="10">
        <v>0</v>
      </c>
      <c r="AT38" s="10">
        <v>0</v>
      </c>
      <c r="AU38" s="2">
        <v>0</v>
      </c>
      <c r="AV38" s="10">
        <v>0</v>
      </c>
      <c r="AW38" s="10">
        <v>0</v>
      </c>
      <c r="AX38" s="10">
        <v>0</v>
      </c>
      <c r="AY38" s="15">
        <v>0</v>
      </c>
      <c r="AZ38" s="14">
        <v>0</v>
      </c>
      <c r="BA38" s="10">
        <v>0</v>
      </c>
      <c r="BB38" s="10">
        <v>0</v>
      </c>
      <c r="BC38" s="10">
        <v>0</v>
      </c>
      <c r="BD38" s="1">
        <v>0</v>
      </c>
      <c r="BE38" s="10">
        <v>0</v>
      </c>
      <c r="BF38" s="10">
        <v>0</v>
      </c>
      <c r="BG38" s="2">
        <v>0</v>
      </c>
      <c r="BH38" s="1">
        <v>0</v>
      </c>
      <c r="BI38" s="10">
        <v>0</v>
      </c>
      <c r="BJ38" s="10">
        <v>0</v>
      </c>
      <c r="BK38" s="2">
        <v>0</v>
      </c>
      <c r="BL38" s="10">
        <v>0</v>
      </c>
      <c r="BM38" s="10">
        <v>0</v>
      </c>
      <c r="BN38" s="10">
        <v>0</v>
      </c>
      <c r="BO38" s="15">
        <v>0</v>
      </c>
    </row>
    <row r="39" spans="1:67" s="10" customFormat="1" x14ac:dyDescent="0.25">
      <c r="A39" s="14"/>
      <c r="C39" s="10">
        <v>36</v>
      </c>
      <c r="D39" s="14">
        <v>0</v>
      </c>
      <c r="E39" s="10">
        <v>0</v>
      </c>
      <c r="F39" s="10">
        <v>0</v>
      </c>
      <c r="G39" s="10">
        <v>0</v>
      </c>
      <c r="H39" s="1">
        <v>0</v>
      </c>
      <c r="I39" s="10">
        <v>0</v>
      </c>
      <c r="J39" s="10">
        <v>0</v>
      </c>
      <c r="K39" s="2">
        <v>0</v>
      </c>
      <c r="L39" s="1">
        <v>0</v>
      </c>
      <c r="M39" s="10">
        <v>0</v>
      </c>
      <c r="N39" s="10">
        <v>0</v>
      </c>
      <c r="O39" s="2">
        <v>0</v>
      </c>
      <c r="P39" s="10">
        <v>0</v>
      </c>
      <c r="Q39" s="10">
        <v>0</v>
      </c>
      <c r="R39" s="10">
        <v>0</v>
      </c>
      <c r="S39" s="15">
        <v>0</v>
      </c>
      <c r="T39" s="14">
        <v>0</v>
      </c>
      <c r="U39" s="10">
        <v>0</v>
      </c>
      <c r="V39" s="10">
        <v>0</v>
      </c>
      <c r="W39" s="10">
        <v>0</v>
      </c>
      <c r="X39" s="1">
        <v>0</v>
      </c>
      <c r="Y39" s="10">
        <v>0</v>
      </c>
      <c r="Z39" s="10">
        <v>0</v>
      </c>
      <c r="AA39" s="2">
        <v>0</v>
      </c>
      <c r="AB39" s="1">
        <v>0</v>
      </c>
      <c r="AC39" s="10">
        <v>0</v>
      </c>
      <c r="AD39" s="10">
        <v>0</v>
      </c>
      <c r="AE39" s="2">
        <v>0</v>
      </c>
      <c r="AF39" s="10">
        <v>0</v>
      </c>
      <c r="AG39" s="10">
        <v>0</v>
      </c>
      <c r="AH39" s="10">
        <v>0</v>
      </c>
      <c r="AI39" s="15">
        <v>0</v>
      </c>
      <c r="AJ39" s="14">
        <v>0</v>
      </c>
      <c r="AK39" s="10">
        <v>0</v>
      </c>
      <c r="AL39" s="10">
        <v>0</v>
      </c>
      <c r="AM39" s="10">
        <v>0</v>
      </c>
      <c r="AN39" s="1">
        <v>0</v>
      </c>
      <c r="AO39" s="10">
        <v>0</v>
      </c>
      <c r="AP39" s="10">
        <v>0</v>
      </c>
      <c r="AQ39" s="2">
        <v>0</v>
      </c>
      <c r="AR39" s="1">
        <v>0</v>
      </c>
      <c r="AS39" s="10">
        <v>0</v>
      </c>
      <c r="AT39" s="10">
        <v>0</v>
      </c>
      <c r="AU39" s="2">
        <v>0</v>
      </c>
      <c r="AV39" s="10">
        <v>0</v>
      </c>
      <c r="AW39" s="10">
        <v>0</v>
      </c>
      <c r="AX39" s="10">
        <v>0</v>
      </c>
      <c r="AY39" s="15">
        <v>0</v>
      </c>
      <c r="AZ39" s="14">
        <v>0</v>
      </c>
      <c r="BA39" s="10">
        <v>0</v>
      </c>
      <c r="BB39" s="10">
        <v>0</v>
      </c>
      <c r="BC39" s="10">
        <v>0</v>
      </c>
      <c r="BD39" s="1">
        <v>0</v>
      </c>
      <c r="BE39" s="10">
        <v>0</v>
      </c>
      <c r="BF39" s="10">
        <v>0</v>
      </c>
      <c r="BG39" s="2">
        <v>0</v>
      </c>
      <c r="BH39" s="1">
        <v>0</v>
      </c>
      <c r="BI39" s="10">
        <v>0</v>
      </c>
      <c r="BJ39" s="10">
        <v>0</v>
      </c>
      <c r="BK39" s="2">
        <v>0</v>
      </c>
      <c r="BL39" s="10">
        <v>0</v>
      </c>
      <c r="BM39" s="10">
        <v>0</v>
      </c>
      <c r="BN39" s="10">
        <v>0</v>
      </c>
      <c r="BO39" s="15">
        <v>0</v>
      </c>
    </row>
    <row r="40" spans="1:67" s="3" customFormat="1" x14ac:dyDescent="0.25">
      <c r="A40" s="4"/>
      <c r="C40" s="3">
        <v>37</v>
      </c>
      <c r="D40" s="16">
        <v>0</v>
      </c>
      <c r="E40" s="3">
        <v>0</v>
      </c>
      <c r="F40" s="3">
        <v>0</v>
      </c>
      <c r="G40" s="3">
        <v>0</v>
      </c>
      <c r="H40" s="4">
        <v>0</v>
      </c>
      <c r="I40" s="3">
        <v>0</v>
      </c>
      <c r="J40" s="3">
        <v>0</v>
      </c>
      <c r="K40" s="5">
        <v>0</v>
      </c>
      <c r="L40" s="4">
        <v>0</v>
      </c>
      <c r="M40" s="3">
        <v>0</v>
      </c>
      <c r="N40" s="3">
        <v>0</v>
      </c>
      <c r="O40" s="5">
        <v>0</v>
      </c>
      <c r="P40" s="3">
        <v>0</v>
      </c>
      <c r="Q40" s="3">
        <v>0</v>
      </c>
      <c r="R40" s="3">
        <v>0</v>
      </c>
      <c r="S40" s="17">
        <v>0</v>
      </c>
      <c r="T40" s="16">
        <v>0</v>
      </c>
      <c r="U40" s="3">
        <v>0</v>
      </c>
      <c r="V40" s="3">
        <v>0</v>
      </c>
      <c r="W40" s="3">
        <v>0</v>
      </c>
      <c r="X40" s="4">
        <v>0</v>
      </c>
      <c r="Y40" s="3">
        <v>0</v>
      </c>
      <c r="Z40" s="3">
        <v>0</v>
      </c>
      <c r="AA40" s="5">
        <v>0</v>
      </c>
      <c r="AB40" s="4">
        <v>0</v>
      </c>
      <c r="AC40" s="3">
        <v>0</v>
      </c>
      <c r="AD40" s="3">
        <v>0</v>
      </c>
      <c r="AE40" s="5">
        <v>0</v>
      </c>
      <c r="AF40" s="3">
        <v>0</v>
      </c>
      <c r="AG40" s="3">
        <v>0</v>
      </c>
      <c r="AH40" s="3">
        <v>0</v>
      </c>
      <c r="AI40" s="17">
        <v>0</v>
      </c>
      <c r="AJ40" s="16">
        <v>0</v>
      </c>
      <c r="AK40" s="3">
        <v>0</v>
      </c>
      <c r="AL40" s="3">
        <v>0</v>
      </c>
      <c r="AM40" s="3">
        <v>0</v>
      </c>
      <c r="AN40" s="4">
        <v>0</v>
      </c>
      <c r="AO40" s="3">
        <v>0</v>
      </c>
      <c r="AP40" s="3">
        <v>0</v>
      </c>
      <c r="AQ40" s="5">
        <v>0</v>
      </c>
      <c r="AR40" s="4">
        <v>0</v>
      </c>
      <c r="AS40" s="3">
        <v>0</v>
      </c>
      <c r="AT40" s="3">
        <v>0</v>
      </c>
      <c r="AU40" s="5">
        <v>0</v>
      </c>
      <c r="AV40" s="3">
        <v>0</v>
      </c>
      <c r="AW40" s="3">
        <v>0</v>
      </c>
      <c r="AX40" s="3">
        <v>0</v>
      </c>
      <c r="AY40" s="17">
        <v>0</v>
      </c>
      <c r="AZ40" s="16">
        <v>0</v>
      </c>
      <c r="BA40" s="3">
        <v>0</v>
      </c>
      <c r="BB40" s="3">
        <v>0</v>
      </c>
      <c r="BC40" s="3">
        <v>0</v>
      </c>
      <c r="BD40" s="4">
        <v>0</v>
      </c>
      <c r="BE40" s="3">
        <v>0</v>
      </c>
      <c r="BF40" s="3">
        <v>0</v>
      </c>
      <c r="BG40" s="5">
        <v>0</v>
      </c>
      <c r="BH40" s="4">
        <v>0</v>
      </c>
      <c r="BI40" s="3">
        <v>0</v>
      </c>
      <c r="BJ40" s="3">
        <v>0</v>
      </c>
      <c r="BK40" s="5">
        <v>0</v>
      </c>
      <c r="BL40" s="3">
        <v>0</v>
      </c>
      <c r="BM40" s="3">
        <v>0</v>
      </c>
      <c r="BN40" s="3">
        <v>0</v>
      </c>
      <c r="BO40" s="17">
        <v>0</v>
      </c>
    </row>
    <row r="41" spans="1:67" s="10" customFormat="1" x14ac:dyDescent="0.25">
      <c r="A41" s="1"/>
      <c r="C41" s="10">
        <v>38</v>
      </c>
      <c r="D41" s="14">
        <v>0</v>
      </c>
      <c r="E41" s="10">
        <v>0</v>
      </c>
      <c r="F41" s="10">
        <v>0</v>
      </c>
      <c r="G41" s="10">
        <v>0</v>
      </c>
      <c r="H41" s="1">
        <v>0</v>
      </c>
      <c r="I41" s="10">
        <v>0</v>
      </c>
      <c r="J41" s="10">
        <v>0</v>
      </c>
      <c r="K41" s="2">
        <v>0</v>
      </c>
      <c r="L41" s="1">
        <v>0</v>
      </c>
      <c r="M41" s="10">
        <v>0</v>
      </c>
      <c r="N41" s="10">
        <v>0</v>
      </c>
      <c r="O41" s="2">
        <v>0</v>
      </c>
      <c r="P41" s="10">
        <v>0</v>
      </c>
      <c r="Q41" s="10">
        <v>0</v>
      </c>
      <c r="R41" s="10">
        <v>0</v>
      </c>
      <c r="S41" s="15">
        <v>0</v>
      </c>
      <c r="T41" s="14">
        <v>0</v>
      </c>
      <c r="U41" s="10">
        <v>0</v>
      </c>
      <c r="V41" s="10">
        <v>0</v>
      </c>
      <c r="W41" s="10">
        <v>0</v>
      </c>
      <c r="X41" s="1">
        <v>0</v>
      </c>
      <c r="Y41" s="10">
        <v>0</v>
      </c>
      <c r="Z41" s="10">
        <v>0</v>
      </c>
      <c r="AA41" s="2">
        <v>0</v>
      </c>
      <c r="AB41" s="1">
        <v>0</v>
      </c>
      <c r="AC41" s="10">
        <v>0</v>
      </c>
      <c r="AD41" s="10">
        <v>0</v>
      </c>
      <c r="AE41" s="2">
        <v>0</v>
      </c>
      <c r="AF41" s="10">
        <v>0</v>
      </c>
      <c r="AG41" s="10">
        <v>0</v>
      </c>
      <c r="AH41" s="10">
        <v>0</v>
      </c>
      <c r="AI41" s="15">
        <v>0</v>
      </c>
      <c r="AJ41" s="14">
        <v>0</v>
      </c>
      <c r="AK41" s="10">
        <v>0</v>
      </c>
      <c r="AL41" s="10">
        <v>0</v>
      </c>
      <c r="AM41" s="10">
        <v>0</v>
      </c>
      <c r="AN41" s="1">
        <v>0</v>
      </c>
      <c r="AO41" s="10">
        <v>0</v>
      </c>
      <c r="AP41" s="10">
        <v>0</v>
      </c>
      <c r="AQ41" s="2">
        <v>0</v>
      </c>
      <c r="AR41" s="1">
        <v>0</v>
      </c>
      <c r="AS41" s="10">
        <v>0</v>
      </c>
      <c r="AT41" s="10">
        <v>0</v>
      </c>
      <c r="AU41" s="2">
        <v>0</v>
      </c>
      <c r="AV41" s="10">
        <v>0</v>
      </c>
      <c r="AW41" s="10">
        <v>0</v>
      </c>
      <c r="AX41" s="10">
        <v>0</v>
      </c>
      <c r="AY41" s="15">
        <v>0</v>
      </c>
      <c r="AZ41" s="14">
        <v>0</v>
      </c>
      <c r="BA41" s="10">
        <v>0</v>
      </c>
      <c r="BB41" s="10">
        <v>0</v>
      </c>
      <c r="BC41" s="10">
        <v>0</v>
      </c>
      <c r="BD41" s="1">
        <v>0</v>
      </c>
      <c r="BE41" s="10">
        <v>0</v>
      </c>
      <c r="BF41" s="10">
        <v>0</v>
      </c>
      <c r="BG41" s="2">
        <v>0</v>
      </c>
      <c r="BH41" s="1">
        <v>0</v>
      </c>
      <c r="BI41" s="10">
        <v>0</v>
      </c>
      <c r="BJ41" s="10">
        <v>0</v>
      </c>
      <c r="BK41" s="2">
        <v>0</v>
      </c>
      <c r="BL41" s="10">
        <v>0</v>
      </c>
      <c r="BM41" s="10">
        <v>0</v>
      </c>
      <c r="BN41" s="10">
        <v>0</v>
      </c>
      <c r="BO41" s="15">
        <v>0</v>
      </c>
    </row>
    <row r="42" spans="1:67" s="10" customFormat="1" x14ac:dyDescent="0.25">
      <c r="A42" s="1"/>
      <c r="C42" s="10">
        <v>39</v>
      </c>
      <c r="D42" s="14">
        <v>0</v>
      </c>
      <c r="E42" s="10">
        <v>0</v>
      </c>
      <c r="F42" s="10">
        <v>0</v>
      </c>
      <c r="G42" s="10">
        <v>0</v>
      </c>
      <c r="H42" s="1">
        <v>0</v>
      </c>
      <c r="I42" s="10">
        <v>0</v>
      </c>
      <c r="J42" s="10">
        <v>0</v>
      </c>
      <c r="K42" s="2">
        <v>0</v>
      </c>
      <c r="L42" s="1">
        <v>0</v>
      </c>
      <c r="M42" s="10">
        <v>0</v>
      </c>
      <c r="N42" s="10">
        <v>0</v>
      </c>
      <c r="O42" s="2">
        <v>0</v>
      </c>
      <c r="P42" s="10">
        <v>0</v>
      </c>
      <c r="Q42" s="10">
        <v>0</v>
      </c>
      <c r="R42" s="10">
        <v>0</v>
      </c>
      <c r="S42" s="15">
        <v>0</v>
      </c>
      <c r="T42" s="14">
        <v>0</v>
      </c>
      <c r="U42" s="10">
        <v>0</v>
      </c>
      <c r="V42" s="10">
        <v>0</v>
      </c>
      <c r="W42" s="10">
        <v>0</v>
      </c>
      <c r="X42" s="1">
        <v>0</v>
      </c>
      <c r="Y42" s="10">
        <v>0</v>
      </c>
      <c r="Z42" s="10">
        <v>0</v>
      </c>
      <c r="AA42" s="2">
        <v>0</v>
      </c>
      <c r="AB42" s="1">
        <v>0</v>
      </c>
      <c r="AC42" s="10">
        <v>0</v>
      </c>
      <c r="AD42" s="10">
        <v>0</v>
      </c>
      <c r="AE42" s="2">
        <v>0</v>
      </c>
      <c r="AF42" s="10">
        <v>0</v>
      </c>
      <c r="AG42" s="10">
        <v>0</v>
      </c>
      <c r="AH42" s="10">
        <v>0</v>
      </c>
      <c r="AI42" s="15">
        <v>0</v>
      </c>
      <c r="AJ42" s="14">
        <v>0</v>
      </c>
      <c r="AK42" s="10">
        <v>0</v>
      </c>
      <c r="AL42" s="10">
        <v>0</v>
      </c>
      <c r="AM42" s="10">
        <v>0</v>
      </c>
      <c r="AN42" s="1">
        <v>0</v>
      </c>
      <c r="AO42" s="10">
        <v>0</v>
      </c>
      <c r="AP42" s="10">
        <v>0</v>
      </c>
      <c r="AQ42" s="2">
        <v>0</v>
      </c>
      <c r="AR42" s="1">
        <v>0</v>
      </c>
      <c r="AS42" s="10">
        <v>0</v>
      </c>
      <c r="AT42" s="10">
        <v>0</v>
      </c>
      <c r="AU42" s="2">
        <v>0</v>
      </c>
      <c r="AV42" s="10">
        <v>0</v>
      </c>
      <c r="AW42" s="10">
        <v>0</v>
      </c>
      <c r="AX42" s="10">
        <v>0</v>
      </c>
      <c r="AY42" s="15">
        <v>0</v>
      </c>
      <c r="AZ42" s="14">
        <v>0</v>
      </c>
      <c r="BA42" s="10">
        <v>0</v>
      </c>
      <c r="BB42" s="10">
        <v>0</v>
      </c>
      <c r="BC42" s="10">
        <v>0</v>
      </c>
      <c r="BD42" s="1">
        <v>0</v>
      </c>
      <c r="BE42" s="10">
        <v>0</v>
      </c>
      <c r="BF42" s="10">
        <v>0</v>
      </c>
      <c r="BG42" s="2">
        <v>0</v>
      </c>
      <c r="BH42" s="1">
        <v>0</v>
      </c>
      <c r="BI42" s="10">
        <v>0</v>
      </c>
      <c r="BJ42" s="10">
        <v>0</v>
      </c>
      <c r="BK42" s="2">
        <v>0</v>
      </c>
      <c r="BL42" s="10">
        <v>0</v>
      </c>
      <c r="BM42" s="10">
        <v>0</v>
      </c>
      <c r="BN42" s="10">
        <v>0</v>
      </c>
      <c r="BO42" s="15">
        <v>0</v>
      </c>
    </row>
    <row r="43" spans="1:67" s="6" customFormat="1" x14ac:dyDescent="0.25">
      <c r="A43" s="7"/>
      <c r="C43" s="6">
        <v>40</v>
      </c>
      <c r="D43" s="18">
        <v>0</v>
      </c>
      <c r="E43" s="6">
        <v>0</v>
      </c>
      <c r="F43" s="6">
        <v>0</v>
      </c>
      <c r="G43" s="6">
        <v>0</v>
      </c>
      <c r="H43" s="7">
        <v>0</v>
      </c>
      <c r="I43" s="6">
        <v>0</v>
      </c>
      <c r="J43" s="6">
        <v>0</v>
      </c>
      <c r="K43" s="8">
        <v>0</v>
      </c>
      <c r="L43" s="7">
        <v>0</v>
      </c>
      <c r="M43" s="6">
        <v>0</v>
      </c>
      <c r="N43" s="6">
        <v>0</v>
      </c>
      <c r="O43" s="8">
        <v>0</v>
      </c>
      <c r="P43" s="6">
        <v>0</v>
      </c>
      <c r="Q43" s="6">
        <v>0</v>
      </c>
      <c r="R43" s="6">
        <v>0</v>
      </c>
      <c r="S43" s="19">
        <v>0</v>
      </c>
      <c r="T43" s="18">
        <v>0</v>
      </c>
      <c r="U43" s="6">
        <v>0</v>
      </c>
      <c r="V43" s="6">
        <v>0</v>
      </c>
      <c r="W43" s="6">
        <v>0</v>
      </c>
      <c r="X43" s="7">
        <v>0</v>
      </c>
      <c r="Y43" s="6">
        <v>0</v>
      </c>
      <c r="Z43" s="6">
        <v>0</v>
      </c>
      <c r="AA43" s="8">
        <v>0</v>
      </c>
      <c r="AB43" s="7">
        <v>0</v>
      </c>
      <c r="AC43" s="6">
        <v>0</v>
      </c>
      <c r="AD43" s="6">
        <v>0</v>
      </c>
      <c r="AE43" s="8">
        <v>0</v>
      </c>
      <c r="AF43" s="6">
        <v>0</v>
      </c>
      <c r="AG43" s="6">
        <v>0</v>
      </c>
      <c r="AH43" s="6">
        <v>0</v>
      </c>
      <c r="AI43" s="19">
        <v>0</v>
      </c>
      <c r="AJ43" s="18">
        <v>0</v>
      </c>
      <c r="AK43" s="6">
        <v>0</v>
      </c>
      <c r="AL43" s="6">
        <v>0</v>
      </c>
      <c r="AM43" s="6">
        <v>0</v>
      </c>
      <c r="AN43" s="7">
        <v>0</v>
      </c>
      <c r="AO43" s="6">
        <v>0</v>
      </c>
      <c r="AP43" s="6">
        <v>0</v>
      </c>
      <c r="AQ43" s="8">
        <v>0</v>
      </c>
      <c r="AR43" s="7">
        <v>0</v>
      </c>
      <c r="AS43" s="6">
        <v>0</v>
      </c>
      <c r="AT43" s="6">
        <v>0</v>
      </c>
      <c r="AU43" s="8">
        <v>0</v>
      </c>
      <c r="AV43" s="6">
        <v>0</v>
      </c>
      <c r="AW43" s="6">
        <v>0</v>
      </c>
      <c r="AX43" s="6">
        <v>0</v>
      </c>
      <c r="AY43" s="19">
        <v>0</v>
      </c>
      <c r="AZ43" s="18">
        <v>0</v>
      </c>
      <c r="BA43" s="6">
        <v>0</v>
      </c>
      <c r="BB43" s="6">
        <v>0</v>
      </c>
      <c r="BC43" s="6">
        <v>0</v>
      </c>
      <c r="BD43" s="7">
        <v>0</v>
      </c>
      <c r="BE43" s="6">
        <v>0</v>
      </c>
      <c r="BF43" s="6">
        <v>0</v>
      </c>
      <c r="BG43" s="8">
        <v>0</v>
      </c>
      <c r="BH43" s="7">
        <v>0</v>
      </c>
      <c r="BI43" s="6">
        <v>0</v>
      </c>
      <c r="BJ43" s="6">
        <v>0</v>
      </c>
      <c r="BK43" s="8">
        <v>0</v>
      </c>
      <c r="BL43" s="6">
        <v>0</v>
      </c>
      <c r="BM43" s="6">
        <v>0</v>
      </c>
      <c r="BN43" s="6">
        <v>0</v>
      </c>
      <c r="BO43" s="19">
        <v>0</v>
      </c>
    </row>
    <row r="44" spans="1:67" s="10" customFormat="1" x14ac:dyDescent="0.25">
      <c r="A44" s="14"/>
      <c r="C44" s="10">
        <v>41</v>
      </c>
      <c r="D44" s="14">
        <v>0</v>
      </c>
      <c r="E44" s="10">
        <v>0</v>
      </c>
      <c r="F44" s="10">
        <v>0</v>
      </c>
      <c r="G44" s="10">
        <v>0</v>
      </c>
      <c r="H44" s="1">
        <v>0</v>
      </c>
      <c r="I44" s="10">
        <v>0</v>
      </c>
      <c r="J44" s="10">
        <v>0</v>
      </c>
      <c r="K44" s="2">
        <v>0</v>
      </c>
      <c r="L44" s="1">
        <v>0</v>
      </c>
      <c r="M44" s="10">
        <v>0</v>
      </c>
      <c r="N44" s="10">
        <v>0</v>
      </c>
      <c r="O44" s="2">
        <v>0</v>
      </c>
      <c r="P44" s="10">
        <v>0</v>
      </c>
      <c r="Q44" s="10">
        <v>0</v>
      </c>
      <c r="R44" s="10">
        <v>0</v>
      </c>
      <c r="S44" s="15">
        <v>0</v>
      </c>
      <c r="T44" s="14">
        <v>0</v>
      </c>
      <c r="U44" s="10">
        <v>0</v>
      </c>
      <c r="V44" s="10">
        <v>0</v>
      </c>
      <c r="W44" s="10">
        <v>0</v>
      </c>
      <c r="X44" s="1">
        <v>0</v>
      </c>
      <c r="Y44" s="10">
        <v>0</v>
      </c>
      <c r="Z44" s="10">
        <v>0</v>
      </c>
      <c r="AA44" s="2">
        <v>0</v>
      </c>
      <c r="AB44" s="1">
        <v>0</v>
      </c>
      <c r="AC44" s="10">
        <v>0</v>
      </c>
      <c r="AD44" s="10">
        <v>0</v>
      </c>
      <c r="AE44" s="2">
        <v>0</v>
      </c>
      <c r="AF44" s="10">
        <v>0</v>
      </c>
      <c r="AG44" s="10">
        <v>0</v>
      </c>
      <c r="AH44" s="10">
        <v>0</v>
      </c>
      <c r="AI44" s="15">
        <v>0</v>
      </c>
      <c r="AJ44" s="14">
        <v>0</v>
      </c>
      <c r="AK44" s="10">
        <v>0</v>
      </c>
      <c r="AL44" s="10">
        <v>0</v>
      </c>
      <c r="AM44" s="10">
        <v>0</v>
      </c>
      <c r="AN44" s="1">
        <v>0</v>
      </c>
      <c r="AO44" s="10">
        <v>0</v>
      </c>
      <c r="AP44" s="10">
        <v>0</v>
      </c>
      <c r="AQ44" s="2">
        <v>0</v>
      </c>
      <c r="AR44" s="1">
        <v>0</v>
      </c>
      <c r="AS44" s="10">
        <v>0</v>
      </c>
      <c r="AT44" s="10">
        <v>0</v>
      </c>
      <c r="AU44" s="2">
        <v>0</v>
      </c>
      <c r="AV44" s="10">
        <v>0</v>
      </c>
      <c r="AW44" s="10">
        <v>0</v>
      </c>
      <c r="AX44" s="10">
        <v>0</v>
      </c>
      <c r="AY44" s="15">
        <v>0</v>
      </c>
      <c r="AZ44" s="14">
        <v>0</v>
      </c>
      <c r="BA44" s="10">
        <v>0</v>
      </c>
      <c r="BB44" s="10">
        <v>0</v>
      </c>
      <c r="BC44" s="10">
        <v>0</v>
      </c>
      <c r="BD44" s="1">
        <v>0</v>
      </c>
      <c r="BE44" s="10">
        <v>0</v>
      </c>
      <c r="BF44" s="10">
        <v>0</v>
      </c>
      <c r="BG44" s="2">
        <v>0</v>
      </c>
      <c r="BH44" s="1">
        <v>0</v>
      </c>
      <c r="BI44" s="10">
        <v>0</v>
      </c>
      <c r="BJ44" s="10">
        <v>0</v>
      </c>
      <c r="BK44" s="2">
        <v>0</v>
      </c>
      <c r="BL44" s="10">
        <v>0</v>
      </c>
      <c r="BM44" s="10">
        <v>0</v>
      </c>
      <c r="BN44" s="10">
        <v>0</v>
      </c>
      <c r="BO44" s="15">
        <v>0</v>
      </c>
    </row>
    <row r="45" spans="1:67" s="10" customFormat="1" x14ac:dyDescent="0.25">
      <c r="A45" s="14"/>
      <c r="C45" s="10">
        <v>42</v>
      </c>
      <c r="D45" s="14">
        <v>0</v>
      </c>
      <c r="E45" s="10">
        <v>0</v>
      </c>
      <c r="F45" s="10">
        <v>0</v>
      </c>
      <c r="G45" s="10">
        <v>0</v>
      </c>
      <c r="H45" s="1">
        <v>0</v>
      </c>
      <c r="I45" s="10">
        <v>0</v>
      </c>
      <c r="J45" s="10">
        <v>0</v>
      </c>
      <c r="K45" s="2">
        <v>0</v>
      </c>
      <c r="L45" s="1">
        <v>0</v>
      </c>
      <c r="M45" s="10">
        <v>0</v>
      </c>
      <c r="N45" s="10">
        <v>0</v>
      </c>
      <c r="O45" s="2">
        <v>0</v>
      </c>
      <c r="P45" s="10">
        <v>0</v>
      </c>
      <c r="Q45" s="10">
        <v>0</v>
      </c>
      <c r="R45" s="10">
        <v>0</v>
      </c>
      <c r="S45" s="15">
        <v>0</v>
      </c>
      <c r="T45" s="14">
        <v>0</v>
      </c>
      <c r="U45" s="10">
        <v>0</v>
      </c>
      <c r="V45" s="10">
        <v>0</v>
      </c>
      <c r="W45" s="10">
        <v>0</v>
      </c>
      <c r="X45" s="1">
        <v>0</v>
      </c>
      <c r="Y45" s="10">
        <v>0</v>
      </c>
      <c r="Z45" s="10">
        <v>0</v>
      </c>
      <c r="AA45" s="2">
        <v>0</v>
      </c>
      <c r="AB45" s="1">
        <v>0</v>
      </c>
      <c r="AC45" s="10">
        <v>0</v>
      </c>
      <c r="AD45" s="10">
        <v>0</v>
      </c>
      <c r="AE45" s="2">
        <v>0</v>
      </c>
      <c r="AF45" s="10">
        <v>0</v>
      </c>
      <c r="AG45" s="10">
        <v>0</v>
      </c>
      <c r="AH45" s="10">
        <v>0</v>
      </c>
      <c r="AI45" s="15">
        <v>0</v>
      </c>
      <c r="AJ45" s="14">
        <v>0</v>
      </c>
      <c r="AK45" s="10">
        <v>0</v>
      </c>
      <c r="AL45" s="10">
        <v>0</v>
      </c>
      <c r="AM45" s="10">
        <v>0</v>
      </c>
      <c r="AN45" s="1">
        <v>0</v>
      </c>
      <c r="AO45" s="10">
        <v>0</v>
      </c>
      <c r="AP45" s="10">
        <v>0</v>
      </c>
      <c r="AQ45" s="2">
        <v>0</v>
      </c>
      <c r="AR45" s="1">
        <v>0</v>
      </c>
      <c r="AS45" s="10">
        <v>0</v>
      </c>
      <c r="AT45" s="10">
        <v>0</v>
      </c>
      <c r="AU45" s="2">
        <v>0</v>
      </c>
      <c r="AV45" s="10">
        <v>0</v>
      </c>
      <c r="AW45" s="10">
        <v>0</v>
      </c>
      <c r="AX45" s="10">
        <v>0</v>
      </c>
      <c r="AY45" s="15">
        <v>0</v>
      </c>
      <c r="AZ45" s="14">
        <v>0</v>
      </c>
      <c r="BA45" s="10">
        <v>0</v>
      </c>
      <c r="BB45" s="10">
        <v>0</v>
      </c>
      <c r="BC45" s="10">
        <v>0</v>
      </c>
      <c r="BD45" s="1">
        <v>0</v>
      </c>
      <c r="BE45" s="10">
        <v>0</v>
      </c>
      <c r="BF45" s="10">
        <v>0</v>
      </c>
      <c r="BG45" s="2">
        <v>0</v>
      </c>
      <c r="BH45" s="1">
        <v>0</v>
      </c>
      <c r="BI45" s="10">
        <v>0</v>
      </c>
      <c r="BJ45" s="10">
        <v>0</v>
      </c>
      <c r="BK45" s="2">
        <v>0</v>
      </c>
      <c r="BL45" s="10">
        <v>0</v>
      </c>
      <c r="BM45" s="10">
        <v>0</v>
      </c>
      <c r="BN45" s="10">
        <v>0</v>
      </c>
      <c r="BO45" s="15">
        <v>0</v>
      </c>
    </row>
    <row r="46" spans="1:67" s="10" customFormat="1" x14ac:dyDescent="0.25">
      <c r="A46" s="14"/>
      <c r="C46" s="10">
        <v>43</v>
      </c>
      <c r="D46" s="14">
        <v>0</v>
      </c>
      <c r="E46" s="10">
        <v>0</v>
      </c>
      <c r="F46" s="10">
        <v>0</v>
      </c>
      <c r="G46" s="10">
        <v>0</v>
      </c>
      <c r="H46" s="1">
        <v>0</v>
      </c>
      <c r="I46" s="10">
        <v>0</v>
      </c>
      <c r="J46" s="10">
        <v>0</v>
      </c>
      <c r="K46" s="2">
        <v>0</v>
      </c>
      <c r="L46" s="1">
        <v>0</v>
      </c>
      <c r="M46" s="10">
        <v>0</v>
      </c>
      <c r="N46" s="10">
        <v>0</v>
      </c>
      <c r="O46" s="2">
        <v>0</v>
      </c>
      <c r="P46" s="10">
        <v>0</v>
      </c>
      <c r="Q46" s="10">
        <v>0</v>
      </c>
      <c r="R46" s="10">
        <v>0</v>
      </c>
      <c r="S46" s="15">
        <v>0</v>
      </c>
      <c r="T46" s="14">
        <v>0</v>
      </c>
      <c r="U46" s="10">
        <v>0</v>
      </c>
      <c r="V46" s="10">
        <v>0</v>
      </c>
      <c r="W46" s="10">
        <v>0</v>
      </c>
      <c r="X46" s="1">
        <v>0</v>
      </c>
      <c r="Y46" s="10">
        <v>0</v>
      </c>
      <c r="Z46" s="10">
        <v>0</v>
      </c>
      <c r="AA46" s="2">
        <v>0</v>
      </c>
      <c r="AB46" s="1">
        <v>0</v>
      </c>
      <c r="AC46" s="10">
        <v>0</v>
      </c>
      <c r="AD46" s="10">
        <v>0</v>
      </c>
      <c r="AE46" s="2">
        <v>0</v>
      </c>
      <c r="AF46" s="10">
        <v>0</v>
      </c>
      <c r="AG46" s="10">
        <v>0</v>
      </c>
      <c r="AH46" s="10">
        <v>0</v>
      </c>
      <c r="AI46" s="15">
        <v>0</v>
      </c>
      <c r="AJ46" s="14">
        <v>0</v>
      </c>
      <c r="AK46" s="10">
        <v>0</v>
      </c>
      <c r="AL46" s="10">
        <v>0</v>
      </c>
      <c r="AM46" s="10">
        <v>0</v>
      </c>
      <c r="AN46" s="1">
        <v>0</v>
      </c>
      <c r="AO46" s="10">
        <v>0</v>
      </c>
      <c r="AP46" s="10">
        <v>0</v>
      </c>
      <c r="AQ46" s="2">
        <v>0</v>
      </c>
      <c r="AR46" s="1">
        <v>0</v>
      </c>
      <c r="AS46" s="10">
        <v>0</v>
      </c>
      <c r="AT46" s="10">
        <v>0</v>
      </c>
      <c r="AU46" s="2">
        <v>0</v>
      </c>
      <c r="AV46" s="10">
        <v>0</v>
      </c>
      <c r="AW46" s="10">
        <v>0</v>
      </c>
      <c r="AX46" s="10">
        <v>0</v>
      </c>
      <c r="AY46" s="15">
        <v>0</v>
      </c>
      <c r="AZ46" s="14">
        <v>0</v>
      </c>
      <c r="BA46" s="10">
        <v>0</v>
      </c>
      <c r="BB46" s="10">
        <v>0</v>
      </c>
      <c r="BC46" s="10">
        <v>0</v>
      </c>
      <c r="BD46" s="1">
        <v>0</v>
      </c>
      <c r="BE46" s="10">
        <v>0</v>
      </c>
      <c r="BF46" s="10">
        <v>0</v>
      </c>
      <c r="BG46" s="2">
        <v>0</v>
      </c>
      <c r="BH46" s="1">
        <v>0</v>
      </c>
      <c r="BI46" s="10">
        <v>0</v>
      </c>
      <c r="BJ46" s="10">
        <v>0</v>
      </c>
      <c r="BK46" s="2">
        <v>0</v>
      </c>
      <c r="BL46" s="10">
        <v>0</v>
      </c>
      <c r="BM46" s="10">
        <v>0</v>
      </c>
      <c r="BN46" s="10">
        <v>0</v>
      </c>
      <c r="BO46" s="15">
        <v>0</v>
      </c>
    </row>
    <row r="47" spans="1:67" s="10" customFormat="1" x14ac:dyDescent="0.25">
      <c r="A47" s="14"/>
      <c r="C47" s="10">
        <v>44</v>
      </c>
      <c r="D47" s="14">
        <v>0</v>
      </c>
      <c r="E47" s="10">
        <v>0</v>
      </c>
      <c r="F47" s="10">
        <v>0</v>
      </c>
      <c r="G47" s="10">
        <v>0</v>
      </c>
      <c r="H47" s="1">
        <v>0</v>
      </c>
      <c r="I47" s="10">
        <v>0</v>
      </c>
      <c r="J47" s="10">
        <v>0</v>
      </c>
      <c r="K47" s="2">
        <v>0</v>
      </c>
      <c r="L47" s="1">
        <v>0</v>
      </c>
      <c r="M47" s="10">
        <v>0</v>
      </c>
      <c r="N47" s="10">
        <v>0</v>
      </c>
      <c r="O47" s="2">
        <v>0</v>
      </c>
      <c r="P47" s="10">
        <v>0</v>
      </c>
      <c r="Q47" s="10">
        <v>0</v>
      </c>
      <c r="R47" s="10">
        <v>0</v>
      </c>
      <c r="S47" s="15">
        <v>0</v>
      </c>
      <c r="T47" s="14">
        <v>0</v>
      </c>
      <c r="U47" s="10">
        <v>0</v>
      </c>
      <c r="V47" s="10">
        <v>0</v>
      </c>
      <c r="W47" s="10">
        <v>0</v>
      </c>
      <c r="X47" s="1">
        <v>0</v>
      </c>
      <c r="Y47" s="10">
        <v>0</v>
      </c>
      <c r="Z47" s="10">
        <v>0</v>
      </c>
      <c r="AA47" s="2">
        <v>0</v>
      </c>
      <c r="AB47" s="1">
        <v>0</v>
      </c>
      <c r="AC47" s="10">
        <v>0</v>
      </c>
      <c r="AD47" s="10">
        <v>0</v>
      </c>
      <c r="AE47" s="2">
        <v>0</v>
      </c>
      <c r="AF47" s="10">
        <v>0</v>
      </c>
      <c r="AG47" s="10">
        <v>0</v>
      </c>
      <c r="AH47" s="10">
        <v>0</v>
      </c>
      <c r="AI47" s="15">
        <v>0</v>
      </c>
      <c r="AJ47" s="14">
        <v>0</v>
      </c>
      <c r="AK47" s="10">
        <v>0</v>
      </c>
      <c r="AL47" s="10">
        <v>0</v>
      </c>
      <c r="AM47" s="10">
        <v>0</v>
      </c>
      <c r="AN47" s="1">
        <v>0</v>
      </c>
      <c r="AO47" s="10">
        <v>0</v>
      </c>
      <c r="AP47" s="10">
        <v>0</v>
      </c>
      <c r="AQ47" s="2">
        <v>0</v>
      </c>
      <c r="AR47" s="1">
        <v>0</v>
      </c>
      <c r="AS47" s="10">
        <v>0</v>
      </c>
      <c r="AT47" s="10">
        <v>0</v>
      </c>
      <c r="AU47" s="2">
        <v>0</v>
      </c>
      <c r="AV47" s="10">
        <v>0</v>
      </c>
      <c r="AW47" s="10">
        <v>0</v>
      </c>
      <c r="AX47" s="10">
        <v>0</v>
      </c>
      <c r="AY47" s="15">
        <v>0</v>
      </c>
      <c r="AZ47" s="14">
        <v>0</v>
      </c>
      <c r="BA47" s="10">
        <v>0</v>
      </c>
      <c r="BB47" s="10">
        <v>0</v>
      </c>
      <c r="BC47" s="10">
        <v>0</v>
      </c>
      <c r="BD47" s="1">
        <v>0</v>
      </c>
      <c r="BE47" s="10">
        <v>0</v>
      </c>
      <c r="BF47" s="10">
        <v>0</v>
      </c>
      <c r="BG47" s="2">
        <v>0</v>
      </c>
      <c r="BH47" s="1">
        <v>0</v>
      </c>
      <c r="BI47" s="10">
        <v>0</v>
      </c>
      <c r="BJ47" s="10">
        <v>0</v>
      </c>
      <c r="BK47" s="2">
        <v>0</v>
      </c>
      <c r="BL47" s="10">
        <v>0</v>
      </c>
      <c r="BM47" s="10">
        <v>0</v>
      </c>
      <c r="BN47" s="10">
        <v>0</v>
      </c>
      <c r="BO47" s="15">
        <v>0</v>
      </c>
    </row>
    <row r="48" spans="1:67" s="3" customFormat="1" x14ac:dyDescent="0.25">
      <c r="A48" s="4"/>
      <c r="C48" s="3">
        <v>45</v>
      </c>
      <c r="D48" s="16">
        <v>0</v>
      </c>
      <c r="E48" s="3">
        <v>0</v>
      </c>
      <c r="F48" s="3">
        <v>0</v>
      </c>
      <c r="G48" s="3">
        <v>0</v>
      </c>
      <c r="H48" s="4">
        <v>0</v>
      </c>
      <c r="I48" s="3">
        <v>0</v>
      </c>
      <c r="J48" s="3">
        <v>0</v>
      </c>
      <c r="K48" s="5">
        <v>0</v>
      </c>
      <c r="L48" s="4">
        <v>0</v>
      </c>
      <c r="M48" s="3">
        <v>0</v>
      </c>
      <c r="N48" s="3">
        <v>0</v>
      </c>
      <c r="O48" s="5">
        <v>0</v>
      </c>
      <c r="P48" s="3">
        <v>0</v>
      </c>
      <c r="Q48" s="3">
        <v>0</v>
      </c>
      <c r="R48" s="3">
        <v>0</v>
      </c>
      <c r="S48" s="17">
        <v>0</v>
      </c>
      <c r="T48" s="16">
        <v>0</v>
      </c>
      <c r="U48" s="3">
        <v>0</v>
      </c>
      <c r="V48" s="3">
        <v>0</v>
      </c>
      <c r="W48" s="3">
        <v>0</v>
      </c>
      <c r="X48" s="4">
        <v>0</v>
      </c>
      <c r="Y48" s="3">
        <v>0</v>
      </c>
      <c r="Z48" s="3">
        <v>0</v>
      </c>
      <c r="AA48" s="5">
        <v>0</v>
      </c>
      <c r="AB48" s="4">
        <v>0</v>
      </c>
      <c r="AC48" s="3">
        <v>0</v>
      </c>
      <c r="AD48" s="3">
        <v>0</v>
      </c>
      <c r="AE48" s="5">
        <v>0</v>
      </c>
      <c r="AF48" s="3">
        <v>0</v>
      </c>
      <c r="AG48" s="3">
        <v>0</v>
      </c>
      <c r="AH48" s="3">
        <v>0</v>
      </c>
      <c r="AI48" s="17">
        <v>0</v>
      </c>
      <c r="AJ48" s="16">
        <v>0</v>
      </c>
      <c r="AK48" s="3">
        <v>0</v>
      </c>
      <c r="AL48" s="3">
        <v>0</v>
      </c>
      <c r="AM48" s="3">
        <v>0</v>
      </c>
      <c r="AN48" s="4">
        <v>0</v>
      </c>
      <c r="AO48" s="3">
        <v>0</v>
      </c>
      <c r="AP48" s="3">
        <v>0</v>
      </c>
      <c r="AQ48" s="5">
        <v>0</v>
      </c>
      <c r="AR48" s="4">
        <v>0</v>
      </c>
      <c r="AS48" s="3">
        <v>0</v>
      </c>
      <c r="AT48" s="3">
        <v>0</v>
      </c>
      <c r="AU48" s="5">
        <v>0</v>
      </c>
      <c r="AV48" s="3">
        <v>0</v>
      </c>
      <c r="AW48" s="3">
        <v>0</v>
      </c>
      <c r="AX48" s="3">
        <v>0</v>
      </c>
      <c r="AY48" s="17">
        <v>0</v>
      </c>
      <c r="AZ48" s="16">
        <v>0</v>
      </c>
      <c r="BA48" s="3">
        <v>0</v>
      </c>
      <c r="BB48" s="3">
        <v>0</v>
      </c>
      <c r="BC48" s="3">
        <v>0</v>
      </c>
      <c r="BD48" s="4">
        <v>0</v>
      </c>
      <c r="BE48" s="3">
        <v>0</v>
      </c>
      <c r="BF48" s="3">
        <v>0</v>
      </c>
      <c r="BG48" s="5">
        <v>0</v>
      </c>
      <c r="BH48" s="4">
        <v>0</v>
      </c>
      <c r="BI48" s="3">
        <v>0</v>
      </c>
      <c r="BJ48" s="3">
        <v>0</v>
      </c>
      <c r="BK48" s="5">
        <v>0</v>
      </c>
      <c r="BL48" s="3">
        <v>0</v>
      </c>
      <c r="BM48" s="3">
        <v>0</v>
      </c>
      <c r="BN48" s="3">
        <v>0</v>
      </c>
      <c r="BO48" s="17">
        <v>0</v>
      </c>
    </row>
    <row r="49" spans="1:67" s="10" customFormat="1" x14ac:dyDescent="0.25">
      <c r="A49" s="1"/>
      <c r="C49" s="10">
        <v>46</v>
      </c>
      <c r="D49" s="14">
        <v>0</v>
      </c>
      <c r="E49" s="10">
        <v>0</v>
      </c>
      <c r="F49" s="10">
        <v>0</v>
      </c>
      <c r="G49" s="10">
        <v>0</v>
      </c>
      <c r="H49" s="1">
        <v>0</v>
      </c>
      <c r="I49" s="10">
        <v>0</v>
      </c>
      <c r="J49" s="10">
        <v>0</v>
      </c>
      <c r="K49" s="2">
        <v>0</v>
      </c>
      <c r="L49" s="1">
        <v>0</v>
      </c>
      <c r="M49" s="10">
        <v>0</v>
      </c>
      <c r="N49" s="10">
        <v>0</v>
      </c>
      <c r="O49" s="2">
        <v>0</v>
      </c>
      <c r="P49" s="10">
        <v>0</v>
      </c>
      <c r="Q49" s="10">
        <v>0</v>
      </c>
      <c r="R49" s="10">
        <v>0</v>
      </c>
      <c r="S49" s="15">
        <v>0</v>
      </c>
      <c r="T49" s="14">
        <v>0</v>
      </c>
      <c r="U49" s="10">
        <v>0</v>
      </c>
      <c r="V49" s="10">
        <v>0</v>
      </c>
      <c r="W49" s="10">
        <v>0</v>
      </c>
      <c r="X49" s="1">
        <v>0</v>
      </c>
      <c r="Y49" s="10">
        <v>0</v>
      </c>
      <c r="Z49" s="10">
        <v>0</v>
      </c>
      <c r="AA49" s="2">
        <v>0</v>
      </c>
      <c r="AB49" s="1">
        <v>0</v>
      </c>
      <c r="AC49" s="10">
        <v>0</v>
      </c>
      <c r="AD49" s="10">
        <v>0</v>
      </c>
      <c r="AE49" s="2">
        <v>0</v>
      </c>
      <c r="AF49" s="10">
        <v>0</v>
      </c>
      <c r="AG49" s="10">
        <v>0</v>
      </c>
      <c r="AH49" s="10">
        <v>0</v>
      </c>
      <c r="AI49" s="15">
        <v>0</v>
      </c>
      <c r="AJ49" s="14">
        <v>0</v>
      </c>
      <c r="AK49" s="10">
        <v>0</v>
      </c>
      <c r="AL49" s="10">
        <v>0</v>
      </c>
      <c r="AM49" s="10">
        <v>0</v>
      </c>
      <c r="AN49" s="1">
        <v>0</v>
      </c>
      <c r="AO49" s="10">
        <v>0</v>
      </c>
      <c r="AP49" s="10">
        <v>0</v>
      </c>
      <c r="AQ49" s="2">
        <v>0</v>
      </c>
      <c r="AR49" s="1">
        <v>0</v>
      </c>
      <c r="AS49" s="10">
        <v>0</v>
      </c>
      <c r="AT49" s="10">
        <v>0</v>
      </c>
      <c r="AU49" s="2">
        <v>0</v>
      </c>
      <c r="AV49" s="10">
        <v>0</v>
      </c>
      <c r="AW49" s="10">
        <v>0</v>
      </c>
      <c r="AX49" s="10">
        <v>0</v>
      </c>
      <c r="AY49" s="15">
        <v>0</v>
      </c>
      <c r="AZ49" s="14">
        <v>0</v>
      </c>
      <c r="BA49" s="10">
        <v>0</v>
      </c>
      <c r="BB49" s="10">
        <v>0</v>
      </c>
      <c r="BC49" s="10">
        <v>0</v>
      </c>
      <c r="BD49" s="1">
        <v>0</v>
      </c>
      <c r="BE49" s="10">
        <v>0</v>
      </c>
      <c r="BF49" s="10">
        <v>0</v>
      </c>
      <c r="BG49" s="2">
        <v>0</v>
      </c>
      <c r="BH49" s="1">
        <v>0</v>
      </c>
      <c r="BI49" s="10">
        <v>0</v>
      </c>
      <c r="BJ49" s="10">
        <v>0</v>
      </c>
      <c r="BK49" s="2">
        <v>0</v>
      </c>
      <c r="BL49" s="10">
        <v>0</v>
      </c>
      <c r="BM49" s="10">
        <v>0</v>
      </c>
      <c r="BN49" s="10">
        <v>0</v>
      </c>
      <c r="BO49" s="15">
        <v>0</v>
      </c>
    </row>
    <row r="50" spans="1:67" s="10" customFormat="1" x14ac:dyDescent="0.25">
      <c r="A50" s="1"/>
      <c r="C50" s="10">
        <v>47</v>
      </c>
      <c r="D50" s="14">
        <v>0</v>
      </c>
      <c r="E50" s="10">
        <v>0</v>
      </c>
      <c r="F50" s="10">
        <v>0</v>
      </c>
      <c r="G50" s="10">
        <v>0</v>
      </c>
      <c r="H50" s="1">
        <v>0</v>
      </c>
      <c r="I50" s="10">
        <v>0</v>
      </c>
      <c r="J50" s="10">
        <v>0</v>
      </c>
      <c r="K50" s="2">
        <v>0</v>
      </c>
      <c r="L50" s="1">
        <v>0</v>
      </c>
      <c r="M50" s="10">
        <v>0</v>
      </c>
      <c r="N50" s="10">
        <v>0</v>
      </c>
      <c r="O50" s="2">
        <v>0</v>
      </c>
      <c r="P50" s="10">
        <v>0</v>
      </c>
      <c r="Q50" s="10">
        <v>0</v>
      </c>
      <c r="R50" s="10">
        <v>0</v>
      </c>
      <c r="S50" s="15">
        <v>0</v>
      </c>
      <c r="T50" s="14">
        <v>0</v>
      </c>
      <c r="U50" s="10">
        <v>0</v>
      </c>
      <c r="V50" s="10">
        <v>0</v>
      </c>
      <c r="W50" s="10">
        <v>0</v>
      </c>
      <c r="X50" s="1">
        <v>0</v>
      </c>
      <c r="Y50" s="10">
        <v>0</v>
      </c>
      <c r="Z50" s="10">
        <v>0</v>
      </c>
      <c r="AA50" s="2">
        <v>0</v>
      </c>
      <c r="AB50" s="1">
        <v>0</v>
      </c>
      <c r="AC50" s="10">
        <v>0</v>
      </c>
      <c r="AD50" s="10">
        <v>0</v>
      </c>
      <c r="AE50" s="2">
        <v>0</v>
      </c>
      <c r="AF50" s="10">
        <v>0</v>
      </c>
      <c r="AG50" s="10">
        <v>0</v>
      </c>
      <c r="AH50" s="10">
        <v>0</v>
      </c>
      <c r="AI50" s="15">
        <v>0</v>
      </c>
      <c r="AJ50" s="14">
        <v>0</v>
      </c>
      <c r="AK50" s="10">
        <v>0</v>
      </c>
      <c r="AL50" s="10">
        <v>0</v>
      </c>
      <c r="AM50" s="10">
        <v>0</v>
      </c>
      <c r="AN50" s="1">
        <v>0</v>
      </c>
      <c r="AO50" s="10">
        <v>0</v>
      </c>
      <c r="AP50" s="10">
        <v>0</v>
      </c>
      <c r="AQ50" s="2">
        <v>0</v>
      </c>
      <c r="AR50" s="1">
        <v>0</v>
      </c>
      <c r="AS50" s="10">
        <v>0</v>
      </c>
      <c r="AT50" s="10">
        <v>0</v>
      </c>
      <c r="AU50" s="2">
        <v>0</v>
      </c>
      <c r="AV50" s="10">
        <v>0</v>
      </c>
      <c r="AW50" s="10">
        <v>0</v>
      </c>
      <c r="AX50" s="10">
        <v>0</v>
      </c>
      <c r="AY50" s="15">
        <v>0</v>
      </c>
      <c r="AZ50" s="14">
        <v>0</v>
      </c>
      <c r="BA50" s="10">
        <v>0</v>
      </c>
      <c r="BB50" s="10">
        <v>0</v>
      </c>
      <c r="BC50" s="10">
        <v>0</v>
      </c>
      <c r="BD50" s="1">
        <v>0</v>
      </c>
      <c r="BE50" s="10">
        <v>0</v>
      </c>
      <c r="BF50" s="10">
        <v>0</v>
      </c>
      <c r="BG50" s="2">
        <v>0</v>
      </c>
      <c r="BH50" s="1">
        <v>0</v>
      </c>
      <c r="BI50" s="10">
        <v>0</v>
      </c>
      <c r="BJ50" s="10">
        <v>0</v>
      </c>
      <c r="BK50" s="2">
        <v>0</v>
      </c>
      <c r="BL50" s="10">
        <v>0</v>
      </c>
      <c r="BM50" s="10">
        <v>0</v>
      </c>
      <c r="BN50" s="10">
        <v>0</v>
      </c>
      <c r="BO50" s="15">
        <v>0</v>
      </c>
    </row>
    <row r="51" spans="1:67" s="6" customFormat="1" x14ac:dyDescent="0.25">
      <c r="A51" s="7"/>
      <c r="C51" s="6">
        <v>48</v>
      </c>
      <c r="D51" s="18">
        <v>0</v>
      </c>
      <c r="E51" s="6">
        <v>0</v>
      </c>
      <c r="F51" s="6">
        <v>0</v>
      </c>
      <c r="G51" s="6">
        <v>0</v>
      </c>
      <c r="H51" s="7">
        <v>0</v>
      </c>
      <c r="I51" s="6">
        <v>0</v>
      </c>
      <c r="J51" s="6">
        <v>0</v>
      </c>
      <c r="K51" s="8">
        <v>0</v>
      </c>
      <c r="L51" s="7">
        <v>0</v>
      </c>
      <c r="M51" s="6">
        <v>0</v>
      </c>
      <c r="N51" s="6">
        <v>0</v>
      </c>
      <c r="O51" s="8">
        <v>0</v>
      </c>
      <c r="P51" s="6">
        <v>0</v>
      </c>
      <c r="Q51" s="6">
        <v>0</v>
      </c>
      <c r="R51" s="6">
        <v>0</v>
      </c>
      <c r="S51" s="19">
        <v>0</v>
      </c>
      <c r="T51" s="18">
        <v>0</v>
      </c>
      <c r="U51" s="6">
        <v>0</v>
      </c>
      <c r="V51" s="6">
        <v>0</v>
      </c>
      <c r="W51" s="6">
        <v>0</v>
      </c>
      <c r="X51" s="7">
        <v>0</v>
      </c>
      <c r="Y51" s="6">
        <v>0</v>
      </c>
      <c r="Z51" s="6">
        <v>0</v>
      </c>
      <c r="AA51" s="8">
        <v>0</v>
      </c>
      <c r="AB51" s="7">
        <v>0</v>
      </c>
      <c r="AC51" s="6">
        <v>0</v>
      </c>
      <c r="AD51" s="6">
        <v>0</v>
      </c>
      <c r="AE51" s="8">
        <v>0</v>
      </c>
      <c r="AF51" s="6">
        <v>0</v>
      </c>
      <c r="AG51" s="6">
        <v>0</v>
      </c>
      <c r="AH51" s="6">
        <v>0</v>
      </c>
      <c r="AI51" s="19">
        <v>0</v>
      </c>
      <c r="AJ51" s="18">
        <v>0</v>
      </c>
      <c r="AK51" s="6">
        <v>0</v>
      </c>
      <c r="AL51" s="6">
        <v>0</v>
      </c>
      <c r="AM51" s="6">
        <v>0</v>
      </c>
      <c r="AN51" s="7">
        <v>0</v>
      </c>
      <c r="AO51" s="6">
        <v>0</v>
      </c>
      <c r="AP51" s="6">
        <v>0</v>
      </c>
      <c r="AQ51" s="8">
        <v>0</v>
      </c>
      <c r="AR51" s="7">
        <v>0</v>
      </c>
      <c r="AS51" s="6">
        <v>0</v>
      </c>
      <c r="AT51" s="6">
        <v>0</v>
      </c>
      <c r="AU51" s="8">
        <v>0</v>
      </c>
      <c r="AV51" s="6">
        <v>0</v>
      </c>
      <c r="AW51" s="6">
        <v>0</v>
      </c>
      <c r="AX51" s="6">
        <v>0</v>
      </c>
      <c r="AY51" s="19">
        <v>0</v>
      </c>
      <c r="AZ51" s="18">
        <v>0</v>
      </c>
      <c r="BA51" s="6">
        <v>0</v>
      </c>
      <c r="BB51" s="6">
        <v>0</v>
      </c>
      <c r="BC51" s="6">
        <v>0</v>
      </c>
      <c r="BD51" s="7">
        <v>0</v>
      </c>
      <c r="BE51" s="6">
        <v>0</v>
      </c>
      <c r="BF51" s="6">
        <v>0</v>
      </c>
      <c r="BG51" s="8">
        <v>0</v>
      </c>
      <c r="BH51" s="7">
        <v>0</v>
      </c>
      <c r="BI51" s="6">
        <v>0</v>
      </c>
      <c r="BJ51" s="6">
        <v>0</v>
      </c>
      <c r="BK51" s="8">
        <v>0</v>
      </c>
      <c r="BL51" s="6">
        <v>0</v>
      </c>
      <c r="BM51" s="6">
        <v>0</v>
      </c>
      <c r="BN51" s="6">
        <v>0</v>
      </c>
      <c r="BO51" s="19">
        <v>0</v>
      </c>
    </row>
    <row r="52" spans="1:67" s="10" customFormat="1" x14ac:dyDescent="0.25">
      <c r="A52" s="14"/>
      <c r="C52" s="10">
        <v>49</v>
      </c>
      <c r="D52" s="14">
        <v>0</v>
      </c>
      <c r="E52" s="10">
        <v>0</v>
      </c>
      <c r="F52" s="10">
        <v>0</v>
      </c>
      <c r="G52" s="10">
        <v>0</v>
      </c>
      <c r="H52" s="1">
        <v>0</v>
      </c>
      <c r="I52" s="10">
        <v>0</v>
      </c>
      <c r="J52" s="10">
        <v>0</v>
      </c>
      <c r="K52" s="2">
        <v>0</v>
      </c>
      <c r="L52" s="1">
        <v>0</v>
      </c>
      <c r="M52" s="10">
        <v>0</v>
      </c>
      <c r="N52" s="10">
        <v>0</v>
      </c>
      <c r="O52" s="2">
        <v>0</v>
      </c>
      <c r="P52" s="10">
        <v>0</v>
      </c>
      <c r="Q52" s="10">
        <v>0</v>
      </c>
      <c r="R52" s="10">
        <v>0</v>
      </c>
      <c r="S52" s="15">
        <v>0</v>
      </c>
      <c r="T52" s="14">
        <v>0</v>
      </c>
      <c r="U52" s="10">
        <v>0</v>
      </c>
      <c r="V52" s="10">
        <v>0</v>
      </c>
      <c r="W52" s="10">
        <v>0</v>
      </c>
      <c r="X52" s="1">
        <v>0</v>
      </c>
      <c r="Y52" s="10">
        <v>0</v>
      </c>
      <c r="Z52" s="10">
        <v>0</v>
      </c>
      <c r="AA52" s="2">
        <v>0</v>
      </c>
      <c r="AB52" s="1">
        <v>0</v>
      </c>
      <c r="AC52" s="10">
        <v>0</v>
      </c>
      <c r="AD52" s="10">
        <v>0</v>
      </c>
      <c r="AE52" s="2">
        <v>0</v>
      </c>
      <c r="AF52" s="10">
        <v>0</v>
      </c>
      <c r="AG52" s="10">
        <v>0</v>
      </c>
      <c r="AH52" s="10">
        <v>0</v>
      </c>
      <c r="AI52" s="15">
        <v>0</v>
      </c>
      <c r="AJ52" s="14">
        <v>0</v>
      </c>
      <c r="AK52" s="10">
        <v>0</v>
      </c>
      <c r="AL52" s="10">
        <v>0</v>
      </c>
      <c r="AM52" s="10">
        <v>0</v>
      </c>
      <c r="AN52" s="1">
        <v>0</v>
      </c>
      <c r="AO52" s="10">
        <v>0</v>
      </c>
      <c r="AP52" s="10">
        <v>0</v>
      </c>
      <c r="AQ52" s="2">
        <v>0</v>
      </c>
      <c r="AR52" s="1">
        <v>0</v>
      </c>
      <c r="AS52" s="10">
        <v>0</v>
      </c>
      <c r="AT52" s="10">
        <v>0</v>
      </c>
      <c r="AU52" s="2">
        <v>0</v>
      </c>
      <c r="AV52" s="10">
        <v>0</v>
      </c>
      <c r="AW52" s="10">
        <v>0</v>
      </c>
      <c r="AX52" s="10">
        <v>0</v>
      </c>
      <c r="AY52" s="15">
        <v>0</v>
      </c>
      <c r="AZ52" s="14">
        <v>0</v>
      </c>
      <c r="BA52" s="10">
        <v>0</v>
      </c>
      <c r="BB52" s="10">
        <v>0</v>
      </c>
      <c r="BC52" s="10">
        <v>0</v>
      </c>
      <c r="BD52" s="1">
        <v>0</v>
      </c>
      <c r="BE52" s="10">
        <v>0</v>
      </c>
      <c r="BF52" s="10">
        <v>0</v>
      </c>
      <c r="BG52" s="2">
        <v>0</v>
      </c>
      <c r="BH52" s="1">
        <v>0</v>
      </c>
      <c r="BI52" s="10">
        <v>0</v>
      </c>
      <c r="BJ52" s="10">
        <v>0</v>
      </c>
      <c r="BK52" s="2">
        <v>0</v>
      </c>
      <c r="BL52" s="10">
        <v>0</v>
      </c>
      <c r="BM52" s="10">
        <v>0</v>
      </c>
      <c r="BN52" s="10">
        <v>0</v>
      </c>
      <c r="BO52" s="15">
        <v>0</v>
      </c>
    </row>
    <row r="53" spans="1:67" s="10" customFormat="1" x14ac:dyDescent="0.25">
      <c r="A53" s="14"/>
      <c r="C53" s="10">
        <v>50</v>
      </c>
      <c r="D53" s="14">
        <v>0</v>
      </c>
      <c r="E53" s="10">
        <v>0</v>
      </c>
      <c r="F53" s="10">
        <v>0</v>
      </c>
      <c r="G53" s="10">
        <v>0</v>
      </c>
      <c r="H53" s="1">
        <v>0</v>
      </c>
      <c r="I53" s="10">
        <v>0</v>
      </c>
      <c r="J53" s="10">
        <v>0</v>
      </c>
      <c r="K53" s="2">
        <v>0</v>
      </c>
      <c r="L53" s="1">
        <v>0</v>
      </c>
      <c r="M53" s="10">
        <v>0</v>
      </c>
      <c r="N53" s="10">
        <v>0</v>
      </c>
      <c r="O53" s="2">
        <v>0</v>
      </c>
      <c r="P53" s="10">
        <v>0</v>
      </c>
      <c r="Q53" s="10">
        <v>0</v>
      </c>
      <c r="R53" s="10">
        <v>0</v>
      </c>
      <c r="S53" s="15">
        <v>0</v>
      </c>
      <c r="T53" s="14">
        <v>0</v>
      </c>
      <c r="U53" s="10">
        <v>0</v>
      </c>
      <c r="V53" s="10">
        <v>0</v>
      </c>
      <c r="W53" s="10">
        <v>0</v>
      </c>
      <c r="X53" s="1">
        <v>0</v>
      </c>
      <c r="Y53" s="10">
        <v>0</v>
      </c>
      <c r="Z53" s="10">
        <v>0</v>
      </c>
      <c r="AA53" s="2">
        <v>0</v>
      </c>
      <c r="AB53" s="1">
        <v>0</v>
      </c>
      <c r="AC53" s="10">
        <v>0</v>
      </c>
      <c r="AD53" s="10">
        <v>0</v>
      </c>
      <c r="AE53" s="2">
        <v>0</v>
      </c>
      <c r="AF53" s="10">
        <v>0</v>
      </c>
      <c r="AG53" s="10">
        <v>0</v>
      </c>
      <c r="AH53" s="10">
        <v>0</v>
      </c>
      <c r="AI53" s="15">
        <v>0</v>
      </c>
      <c r="AJ53" s="14">
        <v>0</v>
      </c>
      <c r="AK53" s="10">
        <v>0</v>
      </c>
      <c r="AL53" s="10">
        <v>0</v>
      </c>
      <c r="AM53" s="10">
        <v>0</v>
      </c>
      <c r="AN53" s="1">
        <v>0</v>
      </c>
      <c r="AO53" s="10">
        <v>0</v>
      </c>
      <c r="AP53" s="10">
        <v>0</v>
      </c>
      <c r="AQ53" s="2">
        <v>0</v>
      </c>
      <c r="AR53" s="1">
        <v>0</v>
      </c>
      <c r="AS53" s="10">
        <v>0</v>
      </c>
      <c r="AT53" s="10">
        <v>0</v>
      </c>
      <c r="AU53" s="2">
        <v>0</v>
      </c>
      <c r="AV53" s="10">
        <v>0</v>
      </c>
      <c r="AW53" s="10">
        <v>0</v>
      </c>
      <c r="AX53" s="10">
        <v>0</v>
      </c>
      <c r="AY53" s="15">
        <v>0</v>
      </c>
      <c r="AZ53" s="14">
        <v>0</v>
      </c>
      <c r="BA53" s="10">
        <v>0</v>
      </c>
      <c r="BB53" s="10">
        <v>0</v>
      </c>
      <c r="BC53" s="10">
        <v>0</v>
      </c>
      <c r="BD53" s="1">
        <v>0</v>
      </c>
      <c r="BE53" s="10">
        <v>0</v>
      </c>
      <c r="BF53" s="10">
        <v>0</v>
      </c>
      <c r="BG53" s="2">
        <v>0</v>
      </c>
      <c r="BH53" s="1">
        <v>0</v>
      </c>
      <c r="BI53" s="10">
        <v>0</v>
      </c>
      <c r="BJ53" s="10">
        <v>0</v>
      </c>
      <c r="BK53" s="2">
        <v>0</v>
      </c>
      <c r="BL53" s="10">
        <v>0</v>
      </c>
      <c r="BM53" s="10">
        <v>0</v>
      </c>
      <c r="BN53" s="10">
        <v>0</v>
      </c>
      <c r="BO53" s="15">
        <v>0</v>
      </c>
    </row>
    <row r="54" spans="1:67" s="10" customFormat="1" x14ac:dyDescent="0.25">
      <c r="A54" s="14"/>
      <c r="C54" s="10">
        <v>51</v>
      </c>
      <c r="D54" s="14">
        <v>0</v>
      </c>
      <c r="E54" s="10">
        <v>0</v>
      </c>
      <c r="F54" s="10">
        <v>0</v>
      </c>
      <c r="G54" s="10">
        <v>0</v>
      </c>
      <c r="H54" s="1">
        <v>0</v>
      </c>
      <c r="I54" s="10">
        <v>0</v>
      </c>
      <c r="J54" s="10">
        <v>0</v>
      </c>
      <c r="K54" s="2">
        <v>0</v>
      </c>
      <c r="L54" s="1">
        <v>0</v>
      </c>
      <c r="M54" s="10">
        <v>0</v>
      </c>
      <c r="N54" s="10">
        <v>0</v>
      </c>
      <c r="O54" s="2">
        <v>0</v>
      </c>
      <c r="P54" s="10">
        <v>0</v>
      </c>
      <c r="Q54" s="10">
        <v>0</v>
      </c>
      <c r="R54" s="10">
        <v>0</v>
      </c>
      <c r="S54" s="15">
        <v>0</v>
      </c>
      <c r="T54" s="14">
        <v>0</v>
      </c>
      <c r="U54" s="10">
        <v>0</v>
      </c>
      <c r="V54" s="10">
        <v>0</v>
      </c>
      <c r="W54" s="10">
        <v>0</v>
      </c>
      <c r="X54" s="1">
        <v>0</v>
      </c>
      <c r="Y54" s="10">
        <v>0</v>
      </c>
      <c r="Z54" s="10">
        <v>0</v>
      </c>
      <c r="AA54" s="2">
        <v>0</v>
      </c>
      <c r="AB54" s="1">
        <v>0</v>
      </c>
      <c r="AC54" s="10">
        <v>0</v>
      </c>
      <c r="AD54" s="10">
        <v>0</v>
      </c>
      <c r="AE54" s="2">
        <v>0</v>
      </c>
      <c r="AF54" s="10">
        <v>0</v>
      </c>
      <c r="AG54" s="10">
        <v>0</v>
      </c>
      <c r="AH54" s="10">
        <v>0</v>
      </c>
      <c r="AI54" s="15">
        <v>0</v>
      </c>
      <c r="AJ54" s="14">
        <v>0</v>
      </c>
      <c r="AK54" s="10">
        <v>0</v>
      </c>
      <c r="AL54" s="10">
        <v>0</v>
      </c>
      <c r="AM54" s="10">
        <v>0</v>
      </c>
      <c r="AN54" s="1">
        <v>0</v>
      </c>
      <c r="AO54" s="10">
        <v>0</v>
      </c>
      <c r="AP54" s="10">
        <v>0</v>
      </c>
      <c r="AQ54" s="2">
        <v>0</v>
      </c>
      <c r="AR54" s="1">
        <v>0</v>
      </c>
      <c r="AS54" s="10">
        <v>0</v>
      </c>
      <c r="AT54" s="10">
        <v>0</v>
      </c>
      <c r="AU54" s="2">
        <v>0</v>
      </c>
      <c r="AV54" s="10">
        <v>0</v>
      </c>
      <c r="AW54" s="10">
        <v>0</v>
      </c>
      <c r="AX54" s="10">
        <v>0</v>
      </c>
      <c r="AY54" s="15">
        <v>0</v>
      </c>
      <c r="AZ54" s="14">
        <v>0</v>
      </c>
      <c r="BA54" s="10">
        <v>0</v>
      </c>
      <c r="BB54" s="10">
        <v>0</v>
      </c>
      <c r="BC54" s="10">
        <v>0</v>
      </c>
      <c r="BD54" s="1">
        <v>0</v>
      </c>
      <c r="BE54" s="10">
        <v>0</v>
      </c>
      <c r="BF54" s="10">
        <v>0</v>
      </c>
      <c r="BG54" s="2">
        <v>0</v>
      </c>
      <c r="BH54" s="1">
        <v>0</v>
      </c>
      <c r="BI54" s="10">
        <v>0</v>
      </c>
      <c r="BJ54" s="10">
        <v>0</v>
      </c>
      <c r="BK54" s="2">
        <v>0</v>
      </c>
      <c r="BL54" s="10">
        <v>0</v>
      </c>
      <c r="BM54" s="10">
        <v>0</v>
      </c>
      <c r="BN54" s="10">
        <v>0</v>
      </c>
      <c r="BO54" s="15">
        <v>0</v>
      </c>
    </row>
    <row r="55" spans="1:67" s="10" customFormat="1" x14ac:dyDescent="0.25">
      <c r="A55" s="14"/>
      <c r="C55" s="10">
        <v>52</v>
      </c>
      <c r="D55" s="14">
        <v>0</v>
      </c>
      <c r="E55" s="10">
        <v>0</v>
      </c>
      <c r="F55" s="10">
        <v>0</v>
      </c>
      <c r="G55" s="10">
        <v>0</v>
      </c>
      <c r="H55" s="1">
        <v>0</v>
      </c>
      <c r="I55" s="10">
        <v>0</v>
      </c>
      <c r="J55" s="10">
        <v>0</v>
      </c>
      <c r="K55" s="2">
        <v>0</v>
      </c>
      <c r="L55" s="1">
        <v>0</v>
      </c>
      <c r="M55" s="10">
        <v>0</v>
      </c>
      <c r="N55" s="10">
        <v>0</v>
      </c>
      <c r="O55" s="2">
        <v>0</v>
      </c>
      <c r="P55" s="10">
        <v>0</v>
      </c>
      <c r="Q55" s="10">
        <v>0</v>
      </c>
      <c r="R55" s="10">
        <v>0</v>
      </c>
      <c r="S55" s="15">
        <v>0</v>
      </c>
      <c r="T55" s="14">
        <v>0</v>
      </c>
      <c r="U55" s="10">
        <v>0</v>
      </c>
      <c r="V55" s="10">
        <v>0</v>
      </c>
      <c r="W55" s="10">
        <v>0</v>
      </c>
      <c r="X55" s="1">
        <v>0</v>
      </c>
      <c r="Y55" s="10">
        <v>0</v>
      </c>
      <c r="Z55" s="10">
        <v>0</v>
      </c>
      <c r="AA55" s="2">
        <v>0</v>
      </c>
      <c r="AB55" s="1">
        <v>0</v>
      </c>
      <c r="AC55" s="10">
        <v>0</v>
      </c>
      <c r="AD55" s="10">
        <v>0</v>
      </c>
      <c r="AE55" s="2">
        <v>0</v>
      </c>
      <c r="AF55" s="10">
        <v>0</v>
      </c>
      <c r="AG55" s="10">
        <v>0</v>
      </c>
      <c r="AH55" s="10">
        <v>0</v>
      </c>
      <c r="AI55" s="15">
        <v>0</v>
      </c>
      <c r="AJ55" s="14">
        <v>0</v>
      </c>
      <c r="AK55" s="10">
        <v>0</v>
      </c>
      <c r="AL55" s="10">
        <v>0</v>
      </c>
      <c r="AM55" s="10">
        <v>0</v>
      </c>
      <c r="AN55" s="1">
        <v>0</v>
      </c>
      <c r="AO55" s="10">
        <v>0</v>
      </c>
      <c r="AP55" s="10">
        <v>0</v>
      </c>
      <c r="AQ55" s="2">
        <v>0</v>
      </c>
      <c r="AR55" s="1">
        <v>0</v>
      </c>
      <c r="AS55" s="10">
        <v>0</v>
      </c>
      <c r="AT55" s="10">
        <v>0</v>
      </c>
      <c r="AU55" s="2">
        <v>0</v>
      </c>
      <c r="AV55" s="10">
        <v>0</v>
      </c>
      <c r="AW55" s="10">
        <v>0</v>
      </c>
      <c r="AX55" s="10">
        <v>0</v>
      </c>
      <c r="AY55" s="15">
        <v>0</v>
      </c>
      <c r="AZ55" s="14">
        <v>0</v>
      </c>
      <c r="BA55" s="10">
        <v>0</v>
      </c>
      <c r="BB55" s="10">
        <v>0</v>
      </c>
      <c r="BC55" s="10">
        <v>0</v>
      </c>
      <c r="BD55" s="1">
        <v>0</v>
      </c>
      <c r="BE55" s="10">
        <v>0</v>
      </c>
      <c r="BF55" s="10">
        <v>0</v>
      </c>
      <c r="BG55" s="2">
        <v>0</v>
      </c>
      <c r="BH55" s="1">
        <v>0</v>
      </c>
      <c r="BI55" s="10">
        <v>0</v>
      </c>
      <c r="BJ55" s="10">
        <v>0</v>
      </c>
      <c r="BK55" s="2">
        <v>0</v>
      </c>
      <c r="BL55" s="10">
        <v>0</v>
      </c>
      <c r="BM55" s="10">
        <v>0</v>
      </c>
      <c r="BN55" s="10">
        <v>0</v>
      </c>
      <c r="BO55" s="15">
        <v>0</v>
      </c>
    </row>
    <row r="56" spans="1:67" s="3" customFormat="1" x14ac:dyDescent="0.25">
      <c r="A56" s="4"/>
      <c r="C56" s="3">
        <v>53</v>
      </c>
      <c r="D56" s="16">
        <v>0</v>
      </c>
      <c r="E56" s="3">
        <v>0</v>
      </c>
      <c r="F56" s="3">
        <v>0</v>
      </c>
      <c r="G56" s="3">
        <v>0</v>
      </c>
      <c r="H56" s="4">
        <v>0</v>
      </c>
      <c r="I56" s="3">
        <v>0</v>
      </c>
      <c r="J56" s="3">
        <v>0</v>
      </c>
      <c r="K56" s="5">
        <v>0</v>
      </c>
      <c r="L56" s="4">
        <v>0</v>
      </c>
      <c r="M56" s="3">
        <v>0</v>
      </c>
      <c r="N56" s="3">
        <v>0</v>
      </c>
      <c r="O56" s="5">
        <v>0</v>
      </c>
      <c r="P56" s="3">
        <v>0</v>
      </c>
      <c r="Q56" s="3">
        <v>0</v>
      </c>
      <c r="R56" s="3">
        <v>0</v>
      </c>
      <c r="S56" s="17">
        <v>0</v>
      </c>
      <c r="T56" s="16">
        <v>0</v>
      </c>
      <c r="U56" s="3">
        <v>0</v>
      </c>
      <c r="V56" s="3">
        <v>0</v>
      </c>
      <c r="W56" s="3">
        <v>0</v>
      </c>
      <c r="X56" s="4">
        <v>0</v>
      </c>
      <c r="Y56" s="3">
        <v>0</v>
      </c>
      <c r="Z56" s="3">
        <v>0</v>
      </c>
      <c r="AA56" s="5">
        <v>0</v>
      </c>
      <c r="AB56" s="4">
        <v>0</v>
      </c>
      <c r="AC56" s="3">
        <v>0</v>
      </c>
      <c r="AD56" s="3">
        <v>0</v>
      </c>
      <c r="AE56" s="5">
        <v>0</v>
      </c>
      <c r="AF56" s="3">
        <v>0</v>
      </c>
      <c r="AG56" s="3">
        <v>0</v>
      </c>
      <c r="AH56" s="3">
        <v>0</v>
      </c>
      <c r="AI56" s="17">
        <v>0</v>
      </c>
      <c r="AJ56" s="16">
        <v>0</v>
      </c>
      <c r="AK56" s="3">
        <v>0</v>
      </c>
      <c r="AL56" s="3">
        <v>0</v>
      </c>
      <c r="AM56" s="3">
        <v>0</v>
      </c>
      <c r="AN56" s="4">
        <v>0</v>
      </c>
      <c r="AO56" s="3">
        <v>0</v>
      </c>
      <c r="AP56" s="3">
        <v>0</v>
      </c>
      <c r="AQ56" s="5">
        <v>0</v>
      </c>
      <c r="AR56" s="4">
        <v>0</v>
      </c>
      <c r="AS56" s="3">
        <v>0</v>
      </c>
      <c r="AT56" s="3">
        <v>0</v>
      </c>
      <c r="AU56" s="5">
        <v>0</v>
      </c>
      <c r="AV56" s="3">
        <v>0</v>
      </c>
      <c r="AW56" s="3">
        <v>0</v>
      </c>
      <c r="AX56" s="3">
        <v>0</v>
      </c>
      <c r="AY56" s="17">
        <v>0</v>
      </c>
      <c r="AZ56" s="16">
        <v>0</v>
      </c>
      <c r="BA56" s="3">
        <v>0</v>
      </c>
      <c r="BB56" s="3">
        <v>0</v>
      </c>
      <c r="BC56" s="3">
        <v>0</v>
      </c>
      <c r="BD56" s="4">
        <v>0</v>
      </c>
      <c r="BE56" s="3">
        <v>0</v>
      </c>
      <c r="BF56" s="3">
        <v>0</v>
      </c>
      <c r="BG56" s="5">
        <v>0</v>
      </c>
      <c r="BH56" s="4">
        <v>0</v>
      </c>
      <c r="BI56" s="3">
        <v>0</v>
      </c>
      <c r="BJ56" s="3">
        <v>0</v>
      </c>
      <c r="BK56" s="5">
        <v>0</v>
      </c>
      <c r="BL56" s="3">
        <v>0</v>
      </c>
      <c r="BM56" s="3">
        <v>0</v>
      </c>
      <c r="BN56" s="3">
        <v>0</v>
      </c>
      <c r="BO56" s="17">
        <v>0</v>
      </c>
    </row>
    <row r="57" spans="1:67" s="10" customFormat="1" x14ac:dyDescent="0.25">
      <c r="A57" s="1"/>
      <c r="C57" s="10">
        <v>54</v>
      </c>
      <c r="D57" s="14">
        <v>0</v>
      </c>
      <c r="E57" s="10">
        <v>0</v>
      </c>
      <c r="F57" s="10">
        <v>0</v>
      </c>
      <c r="G57" s="10">
        <v>0</v>
      </c>
      <c r="H57" s="1">
        <v>0</v>
      </c>
      <c r="I57" s="10">
        <v>0</v>
      </c>
      <c r="J57" s="10">
        <v>0</v>
      </c>
      <c r="K57" s="2">
        <v>0</v>
      </c>
      <c r="L57" s="1">
        <v>0</v>
      </c>
      <c r="M57" s="10">
        <v>0</v>
      </c>
      <c r="N57" s="10">
        <v>0</v>
      </c>
      <c r="O57" s="2">
        <v>0</v>
      </c>
      <c r="P57" s="10">
        <v>0</v>
      </c>
      <c r="Q57" s="10">
        <v>0</v>
      </c>
      <c r="R57" s="10">
        <v>0</v>
      </c>
      <c r="S57" s="15">
        <v>0</v>
      </c>
      <c r="T57" s="14">
        <v>0</v>
      </c>
      <c r="U57" s="10">
        <v>0</v>
      </c>
      <c r="V57" s="10">
        <v>0</v>
      </c>
      <c r="W57" s="10">
        <v>0</v>
      </c>
      <c r="X57" s="1">
        <v>0</v>
      </c>
      <c r="Y57" s="10">
        <v>0</v>
      </c>
      <c r="Z57" s="10">
        <v>0</v>
      </c>
      <c r="AA57" s="2">
        <v>0</v>
      </c>
      <c r="AB57" s="1">
        <v>0</v>
      </c>
      <c r="AC57" s="10">
        <v>0</v>
      </c>
      <c r="AD57" s="10">
        <v>0</v>
      </c>
      <c r="AE57" s="2">
        <v>0</v>
      </c>
      <c r="AF57" s="10">
        <v>0</v>
      </c>
      <c r="AG57" s="10">
        <v>0</v>
      </c>
      <c r="AH57" s="10">
        <v>0</v>
      </c>
      <c r="AI57" s="15">
        <v>0</v>
      </c>
      <c r="AJ57" s="14">
        <v>0</v>
      </c>
      <c r="AK57" s="10">
        <v>0</v>
      </c>
      <c r="AL57" s="10">
        <v>0</v>
      </c>
      <c r="AM57" s="10">
        <v>0</v>
      </c>
      <c r="AN57" s="1">
        <v>0</v>
      </c>
      <c r="AO57" s="10">
        <v>0</v>
      </c>
      <c r="AP57" s="10">
        <v>0</v>
      </c>
      <c r="AQ57" s="2">
        <v>0</v>
      </c>
      <c r="AR57" s="1">
        <v>0</v>
      </c>
      <c r="AS57" s="10">
        <v>0</v>
      </c>
      <c r="AT57" s="10">
        <v>0</v>
      </c>
      <c r="AU57" s="2">
        <v>0</v>
      </c>
      <c r="AV57" s="10">
        <v>0</v>
      </c>
      <c r="AW57" s="10">
        <v>0</v>
      </c>
      <c r="AX57" s="10">
        <v>0</v>
      </c>
      <c r="AY57" s="15">
        <v>0</v>
      </c>
      <c r="AZ57" s="14">
        <v>0</v>
      </c>
      <c r="BA57" s="10">
        <v>0</v>
      </c>
      <c r="BB57" s="10">
        <v>0</v>
      </c>
      <c r="BC57" s="10">
        <v>0</v>
      </c>
      <c r="BD57" s="1">
        <v>0</v>
      </c>
      <c r="BE57" s="10">
        <v>0</v>
      </c>
      <c r="BF57" s="10">
        <v>0</v>
      </c>
      <c r="BG57" s="2">
        <v>0</v>
      </c>
      <c r="BH57" s="1">
        <v>0</v>
      </c>
      <c r="BI57" s="10">
        <v>0</v>
      </c>
      <c r="BJ57" s="10">
        <v>0</v>
      </c>
      <c r="BK57" s="2">
        <v>0</v>
      </c>
      <c r="BL57" s="10">
        <v>0</v>
      </c>
      <c r="BM57" s="10">
        <v>0</v>
      </c>
      <c r="BN57" s="10">
        <v>0</v>
      </c>
      <c r="BO57" s="15">
        <v>0</v>
      </c>
    </row>
    <row r="58" spans="1:67" s="10" customFormat="1" x14ac:dyDescent="0.25">
      <c r="A58" s="1"/>
      <c r="C58" s="10">
        <v>55</v>
      </c>
      <c r="D58" s="14">
        <v>0</v>
      </c>
      <c r="E58" s="10">
        <v>0</v>
      </c>
      <c r="F58" s="10">
        <v>0</v>
      </c>
      <c r="G58" s="10">
        <v>0</v>
      </c>
      <c r="H58" s="1">
        <v>0</v>
      </c>
      <c r="I58" s="10">
        <v>0</v>
      </c>
      <c r="J58" s="10">
        <v>0</v>
      </c>
      <c r="K58" s="2">
        <v>0</v>
      </c>
      <c r="L58" s="1">
        <v>0</v>
      </c>
      <c r="M58" s="10">
        <v>0</v>
      </c>
      <c r="N58" s="10">
        <v>0</v>
      </c>
      <c r="O58" s="2">
        <v>0</v>
      </c>
      <c r="P58" s="10">
        <v>0</v>
      </c>
      <c r="Q58" s="10">
        <v>0</v>
      </c>
      <c r="R58" s="10">
        <v>0</v>
      </c>
      <c r="S58" s="15">
        <v>0</v>
      </c>
      <c r="T58" s="14">
        <v>0</v>
      </c>
      <c r="U58" s="10">
        <v>0</v>
      </c>
      <c r="V58" s="10">
        <v>0</v>
      </c>
      <c r="W58" s="10">
        <v>0</v>
      </c>
      <c r="X58" s="1">
        <v>0</v>
      </c>
      <c r="Y58" s="10">
        <v>0</v>
      </c>
      <c r="Z58" s="10">
        <v>0</v>
      </c>
      <c r="AA58" s="2">
        <v>0</v>
      </c>
      <c r="AB58" s="1">
        <v>0</v>
      </c>
      <c r="AC58" s="10">
        <v>0</v>
      </c>
      <c r="AD58" s="10">
        <v>0</v>
      </c>
      <c r="AE58" s="2">
        <v>0</v>
      </c>
      <c r="AF58" s="10">
        <v>0</v>
      </c>
      <c r="AG58" s="10">
        <v>0</v>
      </c>
      <c r="AH58" s="10">
        <v>0</v>
      </c>
      <c r="AI58" s="15">
        <v>0</v>
      </c>
      <c r="AJ58" s="14">
        <v>0</v>
      </c>
      <c r="AK58" s="10">
        <v>0</v>
      </c>
      <c r="AL58" s="10">
        <v>0</v>
      </c>
      <c r="AM58" s="10">
        <v>0</v>
      </c>
      <c r="AN58" s="1">
        <v>0</v>
      </c>
      <c r="AO58" s="10">
        <v>0</v>
      </c>
      <c r="AP58" s="10">
        <v>0</v>
      </c>
      <c r="AQ58" s="2">
        <v>0</v>
      </c>
      <c r="AR58" s="1">
        <v>0</v>
      </c>
      <c r="AS58" s="10">
        <v>0</v>
      </c>
      <c r="AT58" s="10">
        <v>0</v>
      </c>
      <c r="AU58" s="2">
        <v>0</v>
      </c>
      <c r="AV58" s="10">
        <v>0</v>
      </c>
      <c r="AW58" s="10">
        <v>0</v>
      </c>
      <c r="AX58" s="10">
        <v>0</v>
      </c>
      <c r="AY58" s="15">
        <v>0</v>
      </c>
      <c r="AZ58" s="14">
        <v>0</v>
      </c>
      <c r="BA58" s="10">
        <v>0</v>
      </c>
      <c r="BB58" s="10">
        <v>0</v>
      </c>
      <c r="BC58" s="10">
        <v>0</v>
      </c>
      <c r="BD58" s="1">
        <v>0</v>
      </c>
      <c r="BE58" s="10">
        <v>0</v>
      </c>
      <c r="BF58" s="10">
        <v>0</v>
      </c>
      <c r="BG58" s="2">
        <v>0</v>
      </c>
      <c r="BH58" s="1">
        <v>0</v>
      </c>
      <c r="BI58" s="10">
        <v>0</v>
      </c>
      <c r="BJ58" s="10">
        <v>0</v>
      </c>
      <c r="BK58" s="2">
        <v>0</v>
      </c>
      <c r="BL58" s="10">
        <v>0</v>
      </c>
      <c r="BM58" s="10">
        <v>0</v>
      </c>
      <c r="BN58" s="10">
        <v>0</v>
      </c>
      <c r="BO58" s="15">
        <v>0</v>
      </c>
    </row>
    <row r="59" spans="1:67" s="6" customFormat="1" x14ac:dyDescent="0.25">
      <c r="A59" s="7"/>
      <c r="C59" s="6">
        <v>56</v>
      </c>
      <c r="D59" s="18">
        <v>0</v>
      </c>
      <c r="E59" s="6">
        <v>0</v>
      </c>
      <c r="F59" s="6">
        <v>0</v>
      </c>
      <c r="G59" s="6">
        <v>0</v>
      </c>
      <c r="H59" s="7">
        <v>0</v>
      </c>
      <c r="I59" s="6">
        <v>0</v>
      </c>
      <c r="J59" s="6">
        <v>0</v>
      </c>
      <c r="K59" s="8">
        <v>0</v>
      </c>
      <c r="L59" s="7">
        <v>0</v>
      </c>
      <c r="M59" s="6">
        <v>0</v>
      </c>
      <c r="N59" s="6">
        <v>0</v>
      </c>
      <c r="O59" s="8">
        <v>0</v>
      </c>
      <c r="P59" s="6">
        <v>0</v>
      </c>
      <c r="Q59" s="6">
        <v>0</v>
      </c>
      <c r="R59" s="6">
        <v>0</v>
      </c>
      <c r="S59" s="19">
        <v>0</v>
      </c>
      <c r="T59" s="18">
        <v>0</v>
      </c>
      <c r="U59" s="6">
        <v>0</v>
      </c>
      <c r="V59" s="6">
        <v>0</v>
      </c>
      <c r="W59" s="6">
        <v>0</v>
      </c>
      <c r="X59" s="7">
        <v>0</v>
      </c>
      <c r="Y59" s="6">
        <v>0</v>
      </c>
      <c r="Z59" s="6">
        <v>0</v>
      </c>
      <c r="AA59" s="8">
        <v>0</v>
      </c>
      <c r="AB59" s="7">
        <v>0</v>
      </c>
      <c r="AC59" s="6">
        <v>0</v>
      </c>
      <c r="AD59" s="6">
        <v>0</v>
      </c>
      <c r="AE59" s="8">
        <v>0</v>
      </c>
      <c r="AF59" s="6">
        <v>0</v>
      </c>
      <c r="AG59" s="6">
        <v>0</v>
      </c>
      <c r="AH59" s="6">
        <v>0</v>
      </c>
      <c r="AI59" s="19">
        <v>0</v>
      </c>
      <c r="AJ59" s="18">
        <v>0</v>
      </c>
      <c r="AK59" s="6">
        <v>0</v>
      </c>
      <c r="AL59" s="6">
        <v>0</v>
      </c>
      <c r="AM59" s="6">
        <v>0</v>
      </c>
      <c r="AN59" s="7">
        <v>0</v>
      </c>
      <c r="AO59" s="6">
        <v>0</v>
      </c>
      <c r="AP59" s="6">
        <v>0</v>
      </c>
      <c r="AQ59" s="8">
        <v>0</v>
      </c>
      <c r="AR59" s="7">
        <v>0</v>
      </c>
      <c r="AS59" s="6">
        <v>0</v>
      </c>
      <c r="AT59" s="6">
        <v>0</v>
      </c>
      <c r="AU59" s="8">
        <v>0</v>
      </c>
      <c r="AV59" s="6">
        <v>0</v>
      </c>
      <c r="AW59" s="6">
        <v>0</v>
      </c>
      <c r="AX59" s="6">
        <v>0</v>
      </c>
      <c r="AY59" s="19">
        <v>0</v>
      </c>
      <c r="AZ59" s="18">
        <v>0</v>
      </c>
      <c r="BA59" s="6">
        <v>0</v>
      </c>
      <c r="BB59" s="6">
        <v>0</v>
      </c>
      <c r="BC59" s="6">
        <v>0</v>
      </c>
      <c r="BD59" s="7">
        <v>0</v>
      </c>
      <c r="BE59" s="6">
        <v>0</v>
      </c>
      <c r="BF59" s="6">
        <v>0</v>
      </c>
      <c r="BG59" s="8">
        <v>0</v>
      </c>
      <c r="BH59" s="7">
        <v>0</v>
      </c>
      <c r="BI59" s="6">
        <v>0</v>
      </c>
      <c r="BJ59" s="6">
        <v>0</v>
      </c>
      <c r="BK59" s="8">
        <v>0</v>
      </c>
      <c r="BL59" s="6">
        <v>0</v>
      </c>
      <c r="BM59" s="6">
        <v>0</v>
      </c>
      <c r="BN59" s="6">
        <v>0</v>
      </c>
      <c r="BO59" s="19">
        <v>0</v>
      </c>
    </row>
    <row r="60" spans="1:67" s="3" customFormat="1" x14ac:dyDescent="0.25">
      <c r="A60" s="4"/>
      <c r="C60" s="3">
        <v>57</v>
      </c>
      <c r="D60" s="16">
        <v>0</v>
      </c>
      <c r="E60" s="3">
        <v>0</v>
      </c>
      <c r="F60" s="3">
        <v>0</v>
      </c>
      <c r="G60" s="3">
        <v>0</v>
      </c>
      <c r="H60" s="4">
        <v>0</v>
      </c>
      <c r="I60" s="3">
        <v>0</v>
      </c>
      <c r="J60" s="3">
        <v>0</v>
      </c>
      <c r="K60" s="5">
        <v>0</v>
      </c>
      <c r="L60" s="4">
        <v>0</v>
      </c>
      <c r="M60" s="3">
        <v>0</v>
      </c>
      <c r="N60" s="3">
        <v>0</v>
      </c>
      <c r="O60" s="5">
        <v>0</v>
      </c>
      <c r="P60" s="3">
        <v>0</v>
      </c>
      <c r="Q60" s="3">
        <v>0</v>
      </c>
      <c r="R60" s="3">
        <v>0</v>
      </c>
      <c r="S60" s="17">
        <v>0</v>
      </c>
      <c r="T60" s="16">
        <v>0</v>
      </c>
      <c r="U60" s="3">
        <v>0</v>
      </c>
      <c r="V60" s="3">
        <v>0</v>
      </c>
      <c r="W60" s="3">
        <v>0</v>
      </c>
      <c r="X60" s="4">
        <v>0</v>
      </c>
      <c r="Y60" s="3">
        <v>0</v>
      </c>
      <c r="Z60" s="3">
        <v>0</v>
      </c>
      <c r="AA60" s="5">
        <v>0</v>
      </c>
      <c r="AB60" s="4">
        <v>0</v>
      </c>
      <c r="AC60" s="3">
        <v>0</v>
      </c>
      <c r="AD60" s="3">
        <v>0</v>
      </c>
      <c r="AE60" s="5">
        <v>0</v>
      </c>
      <c r="AF60" s="3">
        <v>0</v>
      </c>
      <c r="AG60" s="3">
        <v>0</v>
      </c>
      <c r="AH60" s="3">
        <v>0</v>
      </c>
      <c r="AI60" s="17">
        <v>0</v>
      </c>
      <c r="AJ60" s="16">
        <v>0</v>
      </c>
      <c r="AK60" s="3">
        <v>0</v>
      </c>
      <c r="AL60" s="3">
        <v>0</v>
      </c>
      <c r="AM60" s="3">
        <v>0</v>
      </c>
      <c r="AN60" s="4">
        <v>0</v>
      </c>
      <c r="AO60" s="3">
        <v>0</v>
      </c>
      <c r="AP60" s="3">
        <v>0</v>
      </c>
      <c r="AQ60" s="5">
        <v>0</v>
      </c>
      <c r="AR60" s="4">
        <v>0</v>
      </c>
      <c r="AS60" s="3">
        <v>0</v>
      </c>
      <c r="AT60" s="3">
        <v>0</v>
      </c>
      <c r="AU60" s="5">
        <v>0</v>
      </c>
      <c r="AV60" s="3">
        <v>0</v>
      </c>
      <c r="AW60" s="3">
        <v>0</v>
      </c>
      <c r="AX60" s="3">
        <v>0</v>
      </c>
      <c r="AY60" s="17">
        <v>0</v>
      </c>
      <c r="AZ60" s="16">
        <v>0</v>
      </c>
      <c r="BA60" s="3">
        <v>0</v>
      </c>
      <c r="BB60" s="3">
        <v>0</v>
      </c>
      <c r="BC60" s="3">
        <v>0</v>
      </c>
      <c r="BD60" s="4">
        <v>0</v>
      </c>
      <c r="BE60" s="3">
        <v>0</v>
      </c>
      <c r="BF60" s="3">
        <v>0</v>
      </c>
      <c r="BG60" s="5">
        <v>0</v>
      </c>
      <c r="BH60" s="4">
        <v>0</v>
      </c>
      <c r="BI60" s="3">
        <v>0</v>
      </c>
      <c r="BJ60" s="3">
        <v>0</v>
      </c>
      <c r="BK60" s="5">
        <v>0</v>
      </c>
      <c r="BL60" s="3">
        <v>0</v>
      </c>
      <c r="BM60" s="3">
        <v>0</v>
      </c>
      <c r="BN60" s="3">
        <v>0</v>
      </c>
      <c r="BO60" s="17">
        <v>0</v>
      </c>
    </row>
    <row r="61" spans="1:67" s="10" customFormat="1" x14ac:dyDescent="0.25">
      <c r="A61" s="1"/>
      <c r="C61" s="10">
        <v>58</v>
      </c>
      <c r="D61" s="14">
        <v>0</v>
      </c>
      <c r="E61" s="10">
        <v>0</v>
      </c>
      <c r="F61" s="10">
        <v>0</v>
      </c>
      <c r="G61" s="10">
        <v>0</v>
      </c>
      <c r="H61" s="1">
        <v>0</v>
      </c>
      <c r="I61" s="10">
        <v>0</v>
      </c>
      <c r="J61" s="10">
        <v>0</v>
      </c>
      <c r="K61" s="2">
        <v>0</v>
      </c>
      <c r="L61" s="1">
        <v>0</v>
      </c>
      <c r="M61" s="10">
        <v>0</v>
      </c>
      <c r="N61" s="10">
        <v>0</v>
      </c>
      <c r="O61" s="2">
        <v>0</v>
      </c>
      <c r="P61" s="10">
        <v>0</v>
      </c>
      <c r="Q61" s="10">
        <v>0</v>
      </c>
      <c r="R61" s="10">
        <v>0</v>
      </c>
      <c r="S61" s="15">
        <v>0</v>
      </c>
      <c r="T61" s="14">
        <v>0</v>
      </c>
      <c r="U61" s="10">
        <v>0</v>
      </c>
      <c r="V61" s="10">
        <v>0</v>
      </c>
      <c r="W61" s="10">
        <v>0</v>
      </c>
      <c r="X61" s="1">
        <v>0</v>
      </c>
      <c r="Y61" s="10">
        <v>0</v>
      </c>
      <c r="Z61" s="10">
        <v>0</v>
      </c>
      <c r="AA61" s="2">
        <v>0</v>
      </c>
      <c r="AB61" s="1">
        <v>0</v>
      </c>
      <c r="AC61" s="10">
        <v>0</v>
      </c>
      <c r="AD61" s="10">
        <v>0</v>
      </c>
      <c r="AE61" s="2">
        <v>0</v>
      </c>
      <c r="AF61" s="10">
        <v>0</v>
      </c>
      <c r="AG61" s="10">
        <v>0</v>
      </c>
      <c r="AH61" s="10">
        <v>0</v>
      </c>
      <c r="AI61" s="15">
        <v>0</v>
      </c>
      <c r="AJ61" s="14">
        <v>0</v>
      </c>
      <c r="AK61" s="10">
        <v>0</v>
      </c>
      <c r="AL61" s="10">
        <v>0</v>
      </c>
      <c r="AM61" s="10">
        <v>0</v>
      </c>
      <c r="AN61" s="1">
        <v>0</v>
      </c>
      <c r="AO61" s="10">
        <v>0</v>
      </c>
      <c r="AP61" s="10">
        <v>0</v>
      </c>
      <c r="AQ61" s="2">
        <v>0</v>
      </c>
      <c r="AR61" s="1">
        <v>0</v>
      </c>
      <c r="AS61" s="10">
        <v>0</v>
      </c>
      <c r="AT61" s="10">
        <v>0</v>
      </c>
      <c r="AU61" s="2">
        <v>0</v>
      </c>
      <c r="AV61" s="10">
        <v>0</v>
      </c>
      <c r="AW61" s="10">
        <v>0</v>
      </c>
      <c r="AX61" s="10">
        <v>0</v>
      </c>
      <c r="AY61" s="15">
        <v>0</v>
      </c>
      <c r="AZ61" s="14">
        <v>0</v>
      </c>
      <c r="BA61" s="10">
        <v>0</v>
      </c>
      <c r="BB61" s="10">
        <v>0</v>
      </c>
      <c r="BC61" s="10">
        <v>0</v>
      </c>
      <c r="BD61" s="1">
        <v>0</v>
      </c>
      <c r="BE61" s="10">
        <v>0</v>
      </c>
      <c r="BF61" s="10">
        <v>0</v>
      </c>
      <c r="BG61" s="2">
        <v>0</v>
      </c>
      <c r="BH61" s="1">
        <v>0</v>
      </c>
      <c r="BI61" s="10">
        <v>0</v>
      </c>
      <c r="BJ61" s="10">
        <v>0</v>
      </c>
      <c r="BK61" s="2">
        <v>0</v>
      </c>
      <c r="BL61" s="10">
        <v>0</v>
      </c>
      <c r="BM61" s="10">
        <v>0</v>
      </c>
      <c r="BN61" s="10">
        <v>0</v>
      </c>
      <c r="BO61" s="15">
        <v>0</v>
      </c>
    </row>
    <row r="62" spans="1:67" s="10" customFormat="1" x14ac:dyDescent="0.25">
      <c r="A62" s="1"/>
      <c r="C62" s="10">
        <v>59</v>
      </c>
      <c r="D62" s="14">
        <v>0</v>
      </c>
      <c r="E62" s="10">
        <v>0</v>
      </c>
      <c r="F62" s="10">
        <v>0</v>
      </c>
      <c r="G62" s="10">
        <v>0</v>
      </c>
      <c r="H62" s="1">
        <v>0</v>
      </c>
      <c r="I62" s="10">
        <v>0</v>
      </c>
      <c r="J62" s="10">
        <v>0</v>
      </c>
      <c r="K62" s="2">
        <v>0</v>
      </c>
      <c r="L62" s="1">
        <v>0</v>
      </c>
      <c r="M62" s="10">
        <v>0</v>
      </c>
      <c r="N62" s="10">
        <v>0</v>
      </c>
      <c r="O62" s="2">
        <v>0</v>
      </c>
      <c r="P62" s="10">
        <v>0</v>
      </c>
      <c r="Q62" s="10">
        <v>0</v>
      </c>
      <c r="R62" s="10">
        <v>0</v>
      </c>
      <c r="S62" s="15">
        <v>0</v>
      </c>
      <c r="T62" s="14">
        <v>0</v>
      </c>
      <c r="U62" s="10">
        <v>0</v>
      </c>
      <c r="V62" s="10">
        <v>0</v>
      </c>
      <c r="W62" s="10">
        <v>0</v>
      </c>
      <c r="X62" s="1">
        <v>0</v>
      </c>
      <c r="Y62" s="10">
        <v>0</v>
      </c>
      <c r="Z62" s="10">
        <v>0</v>
      </c>
      <c r="AA62" s="2">
        <v>0</v>
      </c>
      <c r="AB62" s="1">
        <v>0</v>
      </c>
      <c r="AC62" s="10">
        <v>0</v>
      </c>
      <c r="AD62" s="10">
        <v>0</v>
      </c>
      <c r="AE62" s="2">
        <v>0</v>
      </c>
      <c r="AF62" s="10">
        <v>0</v>
      </c>
      <c r="AG62" s="10">
        <v>0</v>
      </c>
      <c r="AH62" s="10">
        <v>0</v>
      </c>
      <c r="AI62" s="15">
        <v>0</v>
      </c>
      <c r="AJ62" s="14">
        <v>0</v>
      </c>
      <c r="AK62" s="10">
        <v>0</v>
      </c>
      <c r="AL62" s="10">
        <v>0</v>
      </c>
      <c r="AM62" s="10">
        <v>0</v>
      </c>
      <c r="AN62" s="1">
        <v>0</v>
      </c>
      <c r="AO62" s="10">
        <v>0</v>
      </c>
      <c r="AP62" s="10">
        <v>0</v>
      </c>
      <c r="AQ62" s="2">
        <v>0</v>
      </c>
      <c r="AR62" s="1">
        <v>0</v>
      </c>
      <c r="AS62" s="10">
        <v>0</v>
      </c>
      <c r="AT62" s="10">
        <v>0</v>
      </c>
      <c r="AU62" s="2">
        <v>0</v>
      </c>
      <c r="AV62" s="10">
        <v>0</v>
      </c>
      <c r="AW62" s="10">
        <v>0</v>
      </c>
      <c r="AX62" s="10">
        <v>0</v>
      </c>
      <c r="AY62" s="15">
        <v>0</v>
      </c>
      <c r="AZ62" s="14">
        <v>0</v>
      </c>
      <c r="BA62" s="10">
        <v>0</v>
      </c>
      <c r="BB62" s="10">
        <v>0</v>
      </c>
      <c r="BC62" s="10">
        <v>0</v>
      </c>
      <c r="BD62" s="1">
        <v>0</v>
      </c>
      <c r="BE62" s="10">
        <v>0</v>
      </c>
      <c r="BF62" s="10">
        <v>0</v>
      </c>
      <c r="BG62" s="2">
        <v>0</v>
      </c>
      <c r="BH62" s="1">
        <v>0</v>
      </c>
      <c r="BI62" s="10">
        <v>0</v>
      </c>
      <c r="BJ62" s="10">
        <v>0</v>
      </c>
      <c r="BK62" s="2">
        <v>0</v>
      </c>
      <c r="BL62" s="10">
        <v>0</v>
      </c>
      <c r="BM62" s="10">
        <v>0</v>
      </c>
      <c r="BN62" s="10">
        <v>0</v>
      </c>
      <c r="BO62" s="15">
        <v>0</v>
      </c>
    </row>
    <row r="63" spans="1:67" s="6" customFormat="1" x14ac:dyDescent="0.25">
      <c r="A63" s="7"/>
      <c r="C63" s="6">
        <v>60</v>
      </c>
      <c r="D63" s="18">
        <v>0</v>
      </c>
      <c r="E63" s="6">
        <v>0</v>
      </c>
      <c r="F63" s="6">
        <v>0</v>
      </c>
      <c r="G63" s="6">
        <v>0</v>
      </c>
      <c r="H63" s="7">
        <v>0</v>
      </c>
      <c r="I63" s="6">
        <v>0</v>
      </c>
      <c r="J63" s="6">
        <v>0</v>
      </c>
      <c r="K63" s="8">
        <v>0</v>
      </c>
      <c r="L63" s="7">
        <v>0</v>
      </c>
      <c r="M63" s="6">
        <v>0</v>
      </c>
      <c r="N63" s="6">
        <v>0</v>
      </c>
      <c r="O63" s="8">
        <v>0</v>
      </c>
      <c r="P63" s="6">
        <v>0</v>
      </c>
      <c r="Q63" s="6">
        <v>0</v>
      </c>
      <c r="R63" s="6">
        <v>0</v>
      </c>
      <c r="S63" s="19">
        <v>0</v>
      </c>
      <c r="T63" s="18">
        <v>0</v>
      </c>
      <c r="U63" s="6">
        <v>0</v>
      </c>
      <c r="V63" s="6">
        <v>0</v>
      </c>
      <c r="W63" s="6">
        <v>0</v>
      </c>
      <c r="X63" s="7">
        <v>0</v>
      </c>
      <c r="Y63" s="6">
        <v>0</v>
      </c>
      <c r="Z63" s="6">
        <v>0</v>
      </c>
      <c r="AA63" s="8">
        <v>0</v>
      </c>
      <c r="AB63" s="7">
        <v>0</v>
      </c>
      <c r="AC63" s="6">
        <v>0</v>
      </c>
      <c r="AD63" s="6">
        <v>0</v>
      </c>
      <c r="AE63" s="8">
        <v>0</v>
      </c>
      <c r="AF63" s="6">
        <v>0</v>
      </c>
      <c r="AG63" s="6">
        <v>0</v>
      </c>
      <c r="AH63" s="6">
        <v>0</v>
      </c>
      <c r="AI63" s="19">
        <v>0</v>
      </c>
      <c r="AJ63" s="18">
        <v>0</v>
      </c>
      <c r="AK63" s="6">
        <v>0</v>
      </c>
      <c r="AL63" s="6">
        <v>0</v>
      </c>
      <c r="AM63" s="6">
        <v>0</v>
      </c>
      <c r="AN63" s="7">
        <v>0</v>
      </c>
      <c r="AO63" s="6">
        <v>0</v>
      </c>
      <c r="AP63" s="6">
        <v>0</v>
      </c>
      <c r="AQ63" s="8">
        <v>0</v>
      </c>
      <c r="AR63" s="7">
        <v>0</v>
      </c>
      <c r="AS63" s="6">
        <v>0</v>
      </c>
      <c r="AT63" s="6">
        <v>0</v>
      </c>
      <c r="AU63" s="8">
        <v>0</v>
      </c>
      <c r="AV63" s="6">
        <v>0</v>
      </c>
      <c r="AW63" s="6">
        <v>0</v>
      </c>
      <c r="AX63" s="6">
        <v>0</v>
      </c>
      <c r="AY63" s="19">
        <v>0</v>
      </c>
      <c r="AZ63" s="18">
        <v>0</v>
      </c>
      <c r="BA63" s="6">
        <v>0</v>
      </c>
      <c r="BB63" s="6">
        <v>0</v>
      </c>
      <c r="BC63" s="6">
        <v>0</v>
      </c>
      <c r="BD63" s="7">
        <v>0</v>
      </c>
      <c r="BE63" s="6">
        <v>0</v>
      </c>
      <c r="BF63" s="6">
        <v>0</v>
      </c>
      <c r="BG63" s="8">
        <v>0</v>
      </c>
      <c r="BH63" s="7">
        <v>0</v>
      </c>
      <c r="BI63" s="6">
        <v>0</v>
      </c>
      <c r="BJ63" s="6">
        <v>0</v>
      </c>
      <c r="BK63" s="8">
        <v>0</v>
      </c>
      <c r="BL63" s="6">
        <v>0</v>
      </c>
      <c r="BM63" s="6">
        <v>0</v>
      </c>
      <c r="BN63" s="6">
        <v>0</v>
      </c>
      <c r="BO63" s="19">
        <v>0</v>
      </c>
    </row>
    <row r="64" spans="1:67" s="10" customFormat="1" x14ac:dyDescent="0.25">
      <c r="A64" s="14"/>
      <c r="C64" s="10">
        <v>61</v>
      </c>
      <c r="D64" s="14">
        <v>0</v>
      </c>
      <c r="E64" s="10">
        <v>0</v>
      </c>
      <c r="F64" s="10">
        <v>0</v>
      </c>
      <c r="G64" s="10">
        <v>0</v>
      </c>
      <c r="H64" s="1">
        <v>0</v>
      </c>
      <c r="I64" s="10">
        <v>0</v>
      </c>
      <c r="J64" s="10">
        <v>0</v>
      </c>
      <c r="K64" s="2">
        <v>0</v>
      </c>
      <c r="L64" s="1">
        <v>0</v>
      </c>
      <c r="M64" s="10">
        <v>0</v>
      </c>
      <c r="N64" s="10">
        <v>0</v>
      </c>
      <c r="O64" s="2">
        <v>0</v>
      </c>
      <c r="P64" s="10">
        <v>0</v>
      </c>
      <c r="Q64" s="10">
        <v>0</v>
      </c>
      <c r="R64" s="10">
        <v>0</v>
      </c>
      <c r="S64" s="15">
        <v>0</v>
      </c>
      <c r="T64" s="14">
        <v>0</v>
      </c>
      <c r="U64" s="10">
        <v>0</v>
      </c>
      <c r="V64" s="10">
        <v>0</v>
      </c>
      <c r="W64" s="10">
        <v>0</v>
      </c>
      <c r="X64" s="1">
        <v>0</v>
      </c>
      <c r="Y64" s="10">
        <v>0</v>
      </c>
      <c r="Z64" s="10">
        <v>0</v>
      </c>
      <c r="AA64" s="2">
        <v>0</v>
      </c>
      <c r="AB64" s="1">
        <v>0</v>
      </c>
      <c r="AC64" s="10">
        <v>0</v>
      </c>
      <c r="AD64" s="10">
        <v>0</v>
      </c>
      <c r="AE64" s="2">
        <v>0</v>
      </c>
      <c r="AF64" s="10">
        <v>0</v>
      </c>
      <c r="AG64" s="10">
        <v>0</v>
      </c>
      <c r="AH64" s="10">
        <v>0</v>
      </c>
      <c r="AI64" s="15">
        <v>0</v>
      </c>
      <c r="AJ64" s="14">
        <v>0</v>
      </c>
      <c r="AK64" s="10">
        <v>0</v>
      </c>
      <c r="AL64" s="10">
        <v>0</v>
      </c>
      <c r="AM64" s="10">
        <v>0</v>
      </c>
      <c r="AN64" s="1">
        <v>0</v>
      </c>
      <c r="AO64" s="10">
        <v>0</v>
      </c>
      <c r="AP64" s="10">
        <v>0</v>
      </c>
      <c r="AQ64" s="2">
        <v>0</v>
      </c>
      <c r="AR64" s="1">
        <v>0</v>
      </c>
      <c r="AS64" s="10">
        <v>0</v>
      </c>
      <c r="AT64" s="10">
        <v>0</v>
      </c>
      <c r="AU64" s="2">
        <v>0</v>
      </c>
      <c r="AV64" s="10">
        <v>0</v>
      </c>
      <c r="AW64" s="10">
        <v>0</v>
      </c>
      <c r="AX64" s="10">
        <v>0</v>
      </c>
      <c r="AY64" s="15">
        <v>0</v>
      </c>
      <c r="AZ64" s="14">
        <v>0</v>
      </c>
      <c r="BA64" s="10">
        <v>0</v>
      </c>
      <c r="BB64" s="10">
        <v>0</v>
      </c>
      <c r="BC64" s="10">
        <v>0</v>
      </c>
      <c r="BD64" s="1">
        <v>0</v>
      </c>
      <c r="BE64" s="10">
        <v>0</v>
      </c>
      <c r="BF64" s="10">
        <v>0</v>
      </c>
      <c r="BG64" s="2">
        <v>0</v>
      </c>
      <c r="BH64" s="1">
        <v>0</v>
      </c>
      <c r="BI64" s="10">
        <v>0</v>
      </c>
      <c r="BJ64" s="10">
        <v>0</v>
      </c>
      <c r="BK64" s="2">
        <v>0</v>
      </c>
      <c r="BL64" s="10">
        <v>0</v>
      </c>
      <c r="BM64" s="10">
        <v>0</v>
      </c>
      <c r="BN64" s="10">
        <v>0</v>
      </c>
      <c r="BO64" s="15">
        <v>0</v>
      </c>
    </row>
    <row r="65" spans="1:67" s="10" customFormat="1" x14ac:dyDescent="0.25">
      <c r="A65" s="14"/>
      <c r="C65" s="10">
        <v>62</v>
      </c>
      <c r="D65" s="14">
        <v>0</v>
      </c>
      <c r="E65" s="10">
        <v>0</v>
      </c>
      <c r="F65" s="10">
        <v>0</v>
      </c>
      <c r="G65" s="10">
        <v>0</v>
      </c>
      <c r="H65" s="1">
        <v>0</v>
      </c>
      <c r="I65" s="10">
        <v>0</v>
      </c>
      <c r="J65" s="10">
        <v>0</v>
      </c>
      <c r="K65" s="2">
        <v>0</v>
      </c>
      <c r="L65" s="1">
        <v>0</v>
      </c>
      <c r="M65" s="10">
        <v>0</v>
      </c>
      <c r="N65" s="10">
        <v>0</v>
      </c>
      <c r="O65" s="2">
        <v>0</v>
      </c>
      <c r="P65" s="10">
        <v>0</v>
      </c>
      <c r="Q65" s="10">
        <v>0</v>
      </c>
      <c r="R65" s="10">
        <v>0</v>
      </c>
      <c r="S65" s="15">
        <v>0</v>
      </c>
      <c r="T65" s="14">
        <v>0</v>
      </c>
      <c r="U65" s="10">
        <v>0</v>
      </c>
      <c r="V65" s="10">
        <v>0</v>
      </c>
      <c r="W65" s="10">
        <v>0</v>
      </c>
      <c r="X65" s="1">
        <v>0</v>
      </c>
      <c r="Y65" s="10">
        <v>0</v>
      </c>
      <c r="Z65" s="10">
        <v>0</v>
      </c>
      <c r="AA65" s="2">
        <v>0</v>
      </c>
      <c r="AB65" s="1">
        <v>0</v>
      </c>
      <c r="AC65" s="10">
        <v>0</v>
      </c>
      <c r="AD65" s="10">
        <v>0</v>
      </c>
      <c r="AE65" s="2">
        <v>0</v>
      </c>
      <c r="AF65" s="10">
        <v>0</v>
      </c>
      <c r="AG65" s="10">
        <v>0</v>
      </c>
      <c r="AH65" s="10">
        <v>0</v>
      </c>
      <c r="AI65" s="15">
        <v>0</v>
      </c>
      <c r="AJ65" s="14">
        <v>0</v>
      </c>
      <c r="AK65" s="10">
        <v>0</v>
      </c>
      <c r="AL65" s="10">
        <v>0</v>
      </c>
      <c r="AM65" s="10">
        <v>0</v>
      </c>
      <c r="AN65" s="1">
        <v>0</v>
      </c>
      <c r="AO65" s="10">
        <v>0</v>
      </c>
      <c r="AP65" s="10">
        <v>0</v>
      </c>
      <c r="AQ65" s="2">
        <v>0</v>
      </c>
      <c r="AR65" s="1">
        <v>0</v>
      </c>
      <c r="AS65" s="10">
        <v>0</v>
      </c>
      <c r="AT65" s="10">
        <v>0</v>
      </c>
      <c r="AU65" s="2">
        <v>0</v>
      </c>
      <c r="AV65" s="10">
        <v>0</v>
      </c>
      <c r="AW65" s="10">
        <v>0</v>
      </c>
      <c r="AX65" s="10">
        <v>0</v>
      </c>
      <c r="AY65" s="15">
        <v>0</v>
      </c>
      <c r="AZ65" s="14">
        <v>0</v>
      </c>
      <c r="BA65" s="10">
        <v>0</v>
      </c>
      <c r="BB65" s="10">
        <v>0</v>
      </c>
      <c r="BC65" s="10">
        <v>0</v>
      </c>
      <c r="BD65" s="1">
        <v>0</v>
      </c>
      <c r="BE65" s="10">
        <v>0</v>
      </c>
      <c r="BF65" s="10">
        <v>0</v>
      </c>
      <c r="BG65" s="2">
        <v>0</v>
      </c>
      <c r="BH65" s="1">
        <v>0</v>
      </c>
      <c r="BI65" s="10">
        <v>0</v>
      </c>
      <c r="BJ65" s="10">
        <v>0</v>
      </c>
      <c r="BK65" s="2">
        <v>0</v>
      </c>
      <c r="BL65" s="10">
        <v>0</v>
      </c>
      <c r="BM65" s="10">
        <v>0</v>
      </c>
      <c r="BN65" s="10">
        <v>0</v>
      </c>
      <c r="BO65" s="15">
        <v>0</v>
      </c>
    </row>
    <row r="66" spans="1:67" s="10" customFormat="1" x14ac:dyDescent="0.25">
      <c r="A66" s="14"/>
      <c r="C66" s="10">
        <v>63</v>
      </c>
      <c r="D66" s="14">
        <v>0</v>
      </c>
      <c r="E66" s="10">
        <v>0</v>
      </c>
      <c r="F66" s="10">
        <v>0</v>
      </c>
      <c r="G66" s="10">
        <v>0</v>
      </c>
      <c r="H66" s="1">
        <v>0</v>
      </c>
      <c r="I66" s="10">
        <v>0</v>
      </c>
      <c r="J66" s="10">
        <v>0</v>
      </c>
      <c r="K66" s="2">
        <v>0</v>
      </c>
      <c r="L66" s="1">
        <v>0</v>
      </c>
      <c r="M66" s="10">
        <v>0</v>
      </c>
      <c r="N66" s="10">
        <v>0</v>
      </c>
      <c r="O66" s="2">
        <v>0</v>
      </c>
      <c r="P66" s="10">
        <v>0</v>
      </c>
      <c r="Q66" s="10">
        <v>0</v>
      </c>
      <c r="R66" s="10">
        <v>0</v>
      </c>
      <c r="S66" s="15">
        <v>0</v>
      </c>
      <c r="T66" s="14">
        <v>0</v>
      </c>
      <c r="U66" s="10">
        <v>0</v>
      </c>
      <c r="V66" s="10">
        <v>0</v>
      </c>
      <c r="W66" s="10">
        <v>0</v>
      </c>
      <c r="X66" s="1">
        <v>0</v>
      </c>
      <c r="Y66" s="10">
        <v>0</v>
      </c>
      <c r="Z66" s="10">
        <v>0</v>
      </c>
      <c r="AA66" s="2">
        <v>0</v>
      </c>
      <c r="AB66" s="1">
        <v>0</v>
      </c>
      <c r="AC66" s="10">
        <v>0</v>
      </c>
      <c r="AD66" s="10">
        <v>0</v>
      </c>
      <c r="AE66" s="2">
        <v>0</v>
      </c>
      <c r="AF66" s="10">
        <v>0</v>
      </c>
      <c r="AG66" s="10">
        <v>0</v>
      </c>
      <c r="AH66" s="10">
        <v>0</v>
      </c>
      <c r="AI66" s="15">
        <v>0</v>
      </c>
      <c r="AJ66" s="14">
        <v>0</v>
      </c>
      <c r="AK66" s="10">
        <v>0</v>
      </c>
      <c r="AL66" s="10">
        <v>0</v>
      </c>
      <c r="AM66" s="10">
        <v>0</v>
      </c>
      <c r="AN66" s="1">
        <v>0</v>
      </c>
      <c r="AO66" s="10">
        <v>0</v>
      </c>
      <c r="AP66" s="10">
        <v>0</v>
      </c>
      <c r="AQ66" s="2">
        <v>0</v>
      </c>
      <c r="AR66" s="1">
        <v>0</v>
      </c>
      <c r="AS66" s="10">
        <v>0</v>
      </c>
      <c r="AT66" s="10">
        <v>0</v>
      </c>
      <c r="AU66" s="2">
        <v>0</v>
      </c>
      <c r="AV66" s="10">
        <v>0</v>
      </c>
      <c r="AW66" s="10">
        <v>0</v>
      </c>
      <c r="AX66" s="10">
        <v>0</v>
      </c>
      <c r="AY66" s="15">
        <v>0</v>
      </c>
      <c r="AZ66" s="14">
        <v>0</v>
      </c>
      <c r="BA66" s="10">
        <v>0</v>
      </c>
      <c r="BB66" s="10">
        <v>0</v>
      </c>
      <c r="BC66" s="10">
        <v>0</v>
      </c>
      <c r="BD66" s="1">
        <v>0</v>
      </c>
      <c r="BE66" s="10">
        <v>0</v>
      </c>
      <c r="BF66" s="10">
        <v>0</v>
      </c>
      <c r="BG66" s="2">
        <v>0</v>
      </c>
      <c r="BH66" s="1">
        <v>0</v>
      </c>
      <c r="BI66" s="10">
        <v>0</v>
      </c>
      <c r="BJ66" s="10">
        <v>0</v>
      </c>
      <c r="BK66" s="2">
        <v>0</v>
      </c>
      <c r="BL66" s="10">
        <v>0</v>
      </c>
      <c r="BM66" s="10">
        <v>0</v>
      </c>
      <c r="BN66" s="10">
        <v>0</v>
      </c>
      <c r="BO66" s="15">
        <v>0</v>
      </c>
    </row>
    <row r="67" spans="1:67" s="23" customFormat="1" ht="15.75" thickBot="1" x14ac:dyDescent="0.3">
      <c r="A67" s="22"/>
      <c r="C67" s="23">
        <v>64</v>
      </c>
      <c r="D67" s="22">
        <v>0</v>
      </c>
      <c r="E67" s="23">
        <v>0</v>
      </c>
      <c r="F67" s="23">
        <v>0</v>
      </c>
      <c r="G67" s="23">
        <v>0</v>
      </c>
      <c r="H67" s="24">
        <v>0</v>
      </c>
      <c r="I67" s="23">
        <v>0</v>
      </c>
      <c r="J67" s="23">
        <v>0</v>
      </c>
      <c r="K67" s="25">
        <v>0</v>
      </c>
      <c r="L67" s="24">
        <v>0</v>
      </c>
      <c r="M67" s="23">
        <v>0</v>
      </c>
      <c r="N67" s="23">
        <v>0</v>
      </c>
      <c r="O67" s="25">
        <v>0</v>
      </c>
      <c r="P67" s="23">
        <v>0</v>
      </c>
      <c r="Q67" s="23">
        <v>0</v>
      </c>
      <c r="R67" s="23">
        <v>0</v>
      </c>
      <c r="S67" s="26">
        <v>0</v>
      </c>
      <c r="T67" s="22">
        <v>0</v>
      </c>
      <c r="U67" s="23">
        <v>0</v>
      </c>
      <c r="V67" s="23">
        <v>0</v>
      </c>
      <c r="W67" s="23">
        <v>0</v>
      </c>
      <c r="X67" s="24">
        <v>0</v>
      </c>
      <c r="Y67" s="23">
        <v>0</v>
      </c>
      <c r="Z67" s="23">
        <v>0</v>
      </c>
      <c r="AA67" s="25">
        <v>0</v>
      </c>
      <c r="AB67" s="24">
        <v>0</v>
      </c>
      <c r="AC67" s="23">
        <v>0</v>
      </c>
      <c r="AD67" s="23">
        <v>0</v>
      </c>
      <c r="AE67" s="25">
        <v>0</v>
      </c>
      <c r="AF67" s="23">
        <v>0</v>
      </c>
      <c r="AG67" s="23">
        <v>0</v>
      </c>
      <c r="AH67" s="23">
        <v>0</v>
      </c>
      <c r="AI67" s="26">
        <v>0</v>
      </c>
      <c r="AJ67" s="22">
        <v>0</v>
      </c>
      <c r="AK67" s="23">
        <v>0</v>
      </c>
      <c r="AL67" s="23">
        <v>0</v>
      </c>
      <c r="AM67" s="23">
        <v>0</v>
      </c>
      <c r="AN67" s="24">
        <v>0</v>
      </c>
      <c r="AO67" s="23">
        <v>0</v>
      </c>
      <c r="AP67" s="23">
        <v>0</v>
      </c>
      <c r="AQ67" s="25">
        <v>0</v>
      </c>
      <c r="AR67" s="24">
        <v>0</v>
      </c>
      <c r="AS67" s="23">
        <v>0</v>
      </c>
      <c r="AT67" s="23">
        <v>0</v>
      </c>
      <c r="AU67" s="25">
        <v>0</v>
      </c>
      <c r="AV67" s="23">
        <v>0</v>
      </c>
      <c r="AW67" s="23">
        <v>0</v>
      </c>
      <c r="AX67" s="23">
        <v>0</v>
      </c>
      <c r="AY67" s="26">
        <v>0</v>
      </c>
      <c r="AZ67" s="22">
        <v>0</v>
      </c>
      <c r="BA67" s="23">
        <v>0</v>
      </c>
      <c r="BB67" s="23">
        <v>0</v>
      </c>
      <c r="BC67" s="23">
        <v>0</v>
      </c>
      <c r="BD67" s="24">
        <v>0</v>
      </c>
      <c r="BE67" s="23">
        <v>0</v>
      </c>
      <c r="BF67" s="23">
        <v>0</v>
      </c>
      <c r="BG67" s="25">
        <v>0</v>
      </c>
      <c r="BH67" s="24">
        <v>0</v>
      </c>
      <c r="BI67" s="23">
        <v>0</v>
      </c>
      <c r="BJ67" s="23">
        <v>0</v>
      </c>
      <c r="BK67" s="25">
        <v>0</v>
      </c>
      <c r="BL67" s="23">
        <v>0</v>
      </c>
      <c r="BM67" s="23">
        <v>0</v>
      </c>
      <c r="BN67" s="23">
        <v>0</v>
      </c>
      <c r="BO67" s="26">
        <v>0</v>
      </c>
    </row>
    <row r="68" spans="1:67" s="12" customFormat="1" x14ac:dyDescent="0.25">
      <c r="A68" s="11"/>
      <c r="C68" s="12">
        <v>65</v>
      </c>
      <c r="D68" s="11">
        <v>0</v>
      </c>
      <c r="E68" s="12">
        <v>0</v>
      </c>
      <c r="F68" s="12">
        <v>0</v>
      </c>
      <c r="G68" s="12">
        <v>0</v>
      </c>
      <c r="H68" s="20">
        <v>0</v>
      </c>
      <c r="I68" s="12">
        <v>0</v>
      </c>
      <c r="J68" s="12">
        <v>0</v>
      </c>
      <c r="K68" s="21">
        <v>0</v>
      </c>
      <c r="L68" s="20">
        <v>0</v>
      </c>
      <c r="M68" s="12">
        <v>0</v>
      </c>
      <c r="N68" s="12">
        <v>0</v>
      </c>
      <c r="O68" s="21">
        <v>0</v>
      </c>
      <c r="P68" s="12">
        <v>0</v>
      </c>
      <c r="Q68" s="12">
        <v>0</v>
      </c>
      <c r="R68" s="12">
        <v>0</v>
      </c>
      <c r="S68" s="13">
        <v>0</v>
      </c>
      <c r="T68" s="11">
        <v>0</v>
      </c>
      <c r="U68" s="12">
        <v>0</v>
      </c>
      <c r="V68" s="12">
        <v>0</v>
      </c>
      <c r="W68" s="12">
        <v>0</v>
      </c>
      <c r="X68" s="20">
        <v>0</v>
      </c>
      <c r="Y68" s="12">
        <v>0</v>
      </c>
      <c r="Z68" s="12">
        <v>0</v>
      </c>
      <c r="AA68" s="21">
        <v>0</v>
      </c>
      <c r="AB68" s="20">
        <v>0</v>
      </c>
      <c r="AC68" s="12">
        <v>0</v>
      </c>
      <c r="AD68" s="12">
        <v>0</v>
      </c>
      <c r="AE68" s="21">
        <v>0</v>
      </c>
      <c r="AF68" s="12">
        <v>0</v>
      </c>
      <c r="AG68" s="12">
        <v>0</v>
      </c>
      <c r="AH68" s="12">
        <v>0</v>
      </c>
      <c r="AI68" s="13">
        <v>0</v>
      </c>
      <c r="AJ68" s="11">
        <v>0</v>
      </c>
      <c r="AK68" s="12">
        <v>0</v>
      </c>
      <c r="AL68" s="12">
        <v>0</v>
      </c>
      <c r="AM68" s="12">
        <v>0</v>
      </c>
      <c r="AN68" s="20">
        <v>0</v>
      </c>
      <c r="AO68" s="12">
        <v>0</v>
      </c>
      <c r="AP68" s="12">
        <v>0</v>
      </c>
      <c r="AQ68" s="21">
        <v>0</v>
      </c>
      <c r="AR68" s="20">
        <v>0</v>
      </c>
      <c r="AS68" s="12">
        <v>0</v>
      </c>
      <c r="AT68" s="12">
        <v>0</v>
      </c>
      <c r="AU68" s="21">
        <v>0</v>
      </c>
      <c r="AV68" s="12">
        <v>0</v>
      </c>
      <c r="AW68" s="12">
        <v>0</v>
      </c>
      <c r="AX68" s="12">
        <v>0</v>
      </c>
      <c r="AY68" s="13">
        <v>0</v>
      </c>
      <c r="AZ68" s="11">
        <v>0</v>
      </c>
      <c r="BA68" s="12">
        <v>0</v>
      </c>
      <c r="BB68" s="12">
        <v>0</v>
      </c>
      <c r="BC68" s="12">
        <v>0</v>
      </c>
      <c r="BD68" s="20">
        <v>0</v>
      </c>
      <c r="BE68" s="12">
        <v>0</v>
      </c>
      <c r="BF68" s="12">
        <v>0</v>
      </c>
      <c r="BG68" s="21">
        <v>0</v>
      </c>
      <c r="BH68" s="20">
        <v>0</v>
      </c>
      <c r="BI68" s="12">
        <v>0</v>
      </c>
      <c r="BJ68" s="12">
        <v>0</v>
      </c>
      <c r="BK68" s="21">
        <v>0</v>
      </c>
      <c r="BL68" s="12">
        <v>0</v>
      </c>
      <c r="BM68" s="12">
        <v>0</v>
      </c>
      <c r="BN68" s="12">
        <v>0</v>
      </c>
      <c r="BO68" s="13">
        <v>0</v>
      </c>
    </row>
    <row r="69" spans="1:67" s="10" customFormat="1" x14ac:dyDescent="0.25">
      <c r="A69" s="14"/>
      <c r="C69" s="10">
        <v>66</v>
      </c>
      <c r="D69" s="14">
        <v>0</v>
      </c>
      <c r="E69" s="10">
        <v>0</v>
      </c>
      <c r="F69" s="10">
        <v>0</v>
      </c>
      <c r="G69" s="10">
        <v>0</v>
      </c>
      <c r="H69" s="1">
        <v>0</v>
      </c>
      <c r="I69" s="10">
        <v>0</v>
      </c>
      <c r="J69" s="10">
        <v>0</v>
      </c>
      <c r="K69" s="2">
        <v>0</v>
      </c>
      <c r="L69" s="1">
        <v>0</v>
      </c>
      <c r="M69" s="10">
        <v>0</v>
      </c>
      <c r="N69" s="10">
        <v>0</v>
      </c>
      <c r="O69" s="2">
        <v>0</v>
      </c>
      <c r="P69" s="10">
        <v>0</v>
      </c>
      <c r="Q69" s="10">
        <v>0</v>
      </c>
      <c r="R69" s="10">
        <v>0</v>
      </c>
      <c r="S69" s="15">
        <v>0</v>
      </c>
      <c r="T69" s="14">
        <v>0</v>
      </c>
      <c r="U69" s="10">
        <v>0</v>
      </c>
      <c r="V69" s="10">
        <v>0</v>
      </c>
      <c r="W69" s="10">
        <v>0</v>
      </c>
      <c r="X69" s="1">
        <v>0</v>
      </c>
      <c r="Y69" s="10">
        <v>0</v>
      </c>
      <c r="Z69" s="10">
        <v>0</v>
      </c>
      <c r="AA69" s="2">
        <v>0</v>
      </c>
      <c r="AB69" s="1">
        <v>0</v>
      </c>
      <c r="AC69" s="10">
        <v>0</v>
      </c>
      <c r="AD69" s="10">
        <v>0</v>
      </c>
      <c r="AE69" s="2">
        <v>0</v>
      </c>
      <c r="AF69" s="10">
        <v>0</v>
      </c>
      <c r="AG69" s="10">
        <v>0</v>
      </c>
      <c r="AH69" s="10">
        <v>0</v>
      </c>
      <c r="AI69" s="15">
        <v>0</v>
      </c>
      <c r="AJ69" s="14">
        <v>0</v>
      </c>
      <c r="AK69" s="10">
        <v>0</v>
      </c>
      <c r="AL69" s="10">
        <v>0</v>
      </c>
      <c r="AM69" s="10">
        <v>0</v>
      </c>
      <c r="AN69" s="1">
        <v>0</v>
      </c>
      <c r="AO69" s="10">
        <v>0</v>
      </c>
      <c r="AP69" s="10">
        <v>0</v>
      </c>
      <c r="AQ69" s="2">
        <v>0</v>
      </c>
      <c r="AR69" s="1">
        <v>0</v>
      </c>
      <c r="AS69" s="10">
        <v>0</v>
      </c>
      <c r="AT69" s="10">
        <v>0</v>
      </c>
      <c r="AU69" s="2">
        <v>0</v>
      </c>
      <c r="AV69" s="10">
        <v>0</v>
      </c>
      <c r="AW69" s="10">
        <v>0</v>
      </c>
      <c r="AX69" s="10">
        <v>0</v>
      </c>
      <c r="AY69" s="15">
        <v>0</v>
      </c>
      <c r="AZ69" s="14">
        <v>0</v>
      </c>
      <c r="BA69" s="10">
        <v>0</v>
      </c>
      <c r="BB69" s="10">
        <v>0</v>
      </c>
      <c r="BC69" s="10">
        <v>0</v>
      </c>
      <c r="BD69" s="1">
        <v>0</v>
      </c>
      <c r="BE69" s="10">
        <v>0</v>
      </c>
      <c r="BF69" s="10">
        <v>0</v>
      </c>
      <c r="BG69" s="2">
        <v>0</v>
      </c>
      <c r="BH69" s="1">
        <v>0</v>
      </c>
      <c r="BI69" s="10">
        <v>0</v>
      </c>
      <c r="BJ69" s="10">
        <v>0</v>
      </c>
      <c r="BK69" s="2">
        <v>0</v>
      </c>
      <c r="BL69" s="10">
        <v>0</v>
      </c>
      <c r="BM69" s="10">
        <v>0</v>
      </c>
      <c r="BN69" s="10">
        <v>0</v>
      </c>
      <c r="BO69" s="15">
        <v>0</v>
      </c>
    </row>
    <row r="70" spans="1:67" s="10" customFormat="1" x14ac:dyDescent="0.25">
      <c r="A70" s="14"/>
      <c r="C70" s="10">
        <v>67</v>
      </c>
      <c r="D70" s="14">
        <v>0</v>
      </c>
      <c r="E70" s="10">
        <v>0</v>
      </c>
      <c r="F70" s="10">
        <v>0</v>
      </c>
      <c r="G70" s="10">
        <v>0</v>
      </c>
      <c r="H70" s="1">
        <v>0</v>
      </c>
      <c r="I70" s="10">
        <v>0</v>
      </c>
      <c r="J70" s="10">
        <v>0</v>
      </c>
      <c r="K70" s="2">
        <v>0</v>
      </c>
      <c r="L70" s="1">
        <v>0</v>
      </c>
      <c r="M70" s="10">
        <v>0</v>
      </c>
      <c r="N70" s="10">
        <v>0</v>
      </c>
      <c r="O70" s="2">
        <v>0</v>
      </c>
      <c r="P70" s="10">
        <v>0</v>
      </c>
      <c r="Q70" s="10">
        <v>0</v>
      </c>
      <c r="R70" s="10">
        <v>0</v>
      </c>
      <c r="S70" s="15">
        <v>0</v>
      </c>
      <c r="T70" s="14">
        <v>0</v>
      </c>
      <c r="U70" s="10">
        <v>0</v>
      </c>
      <c r="V70" s="10">
        <v>0</v>
      </c>
      <c r="W70" s="10">
        <v>0</v>
      </c>
      <c r="X70" s="1">
        <v>0</v>
      </c>
      <c r="Y70" s="10">
        <v>0</v>
      </c>
      <c r="Z70" s="10">
        <v>0</v>
      </c>
      <c r="AA70" s="2">
        <v>0</v>
      </c>
      <c r="AB70" s="1">
        <v>0</v>
      </c>
      <c r="AC70" s="10">
        <v>0</v>
      </c>
      <c r="AD70" s="10">
        <v>0</v>
      </c>
      <c r="AE70" s="2">
        <v>0</v>
      </c>
      <c r="AF70" s="10">
        <v>0</v>
      </c>
      <c r="AG70" s="10">
        <v>0</v>
      </c>
      <c r="AH70" s="10">
        <v>0</v>
      </c>
      <c r="AI70" s="15">
        <v>0</v>
      </c>
      <c r="AJ70" s="14">
        <v>0</v>
      </c>
      <c r="AK70" s="10">
        <v>0</v>
      </c>
      <c r="AL70" s="10">
        <v>0</v>
      </c>
      <c r="AM70" s="10">
        <v>0</v>
      </c>
      <c r="AN70" s="1">
        <v>0</v>
      </c>
      <c r="AO70" s="10">
        <v>0</v>
      </c>
      <c r="AP70" s="10">
        <v>0</v>
      </c>
      <c r="AQ70" s="2">
        <v>0</v>
      </c>
      <c r="AR70" s="1">
        <v>0</v>
      </c>
      <c r="AS70" s="10">
        <v>0</v>
      </c>
      <c r="AT70" s="10">
        <v>0</v>
      </c>
      <c r="AU70" s="2">
        <v>0</v>
      </c>
      <c r="AV70" s="10">
        <v>0</v>
      </c>
      <c r="AW70" s="10">
        <v>0</v>
      </c>
      <c r="AX70" s="10">
        <v>0</v>
      </c>
      <c r="AY70" s="15">
        <v>0</v>
      </c>
      <c r="AZ70" s="14">
        <v>0</v>
      </c>
      <c r="BA70" s="10">
        <v>0</v>
      </c>
      <c r="BB70" s="10">
        <v>0</v>
      </c>
      <c r="BC70" s="10">
        <v>0</v>
      </c>
      <c r="BD70" s="1">
        <v>0</v>
      </c>
      <c r="BE70" s="10">
        <v>0</v>
      </c>
      <c r="BF70" s="10">
        <v>0</v>
      </c>
      <c r="BG70" s="2">
        <v>0</v>
      </c>
      <c r="BH70" s="1">
        <v>0</v>
      </c>
      <c r="BI70" s="10">
        <v>0</v>
      </c>
      <c r="BJ70" s="10">
        <v>0</v>
      </c>
      <c r="BK70" s="2">
        <v>0</v>
      </c>
      <c r="BL70" s="10">
        <v>0</v>
      </c>
      <c r="BM70" s="10">
        <v>0</v>
      </c>
      <c r="BN70" s="10">
        <v>0</v>
      </c>
      <c r="BO70" s="15">
        <v>0</v>
      </c>
    </row>
    <row r="71" spans="1:67" s="10" customFormat="1" x14ac:dyDescent="0.25">
      <c r="A71" s="14"/>
      <c r="C71" s="10">
        <v>68</v>
      </c>
      <c r="D71" s="14">
        <v>0</v>
      </c>
      <c r="E71" s="10">
        <v>0</v>
      </c>
      <c r="F71" s="10">
        <v>0</v>
      </c>
      <c r="G71" s="10">
        <v>0</v>
      </c>
      <c r="H71" s="1">
        <v>0</v>
      </c>
      <c r="I71" s="10">
        <v>0</v>
      </c>
      <c r="J71" s="10">
        <v>0</v>
      </c>
      <c r="K71" s="2">
        <v>0</v>
      </c>
      <c r="L71" s="1">
        <v>0</v>
      </c>
      <c r="M71" s="10">
        <v>0</v>
      </c>
      <c r="N71" s="10">
        <v>0</v>
      </c>
      <c r="O71" s="2">
        <v>0</v>
      </c>
      <c r="P71" s="10">
        <v>0</v>
      </c>
      <c r="Q71" s="10">
        <v>0</v>
      </c>
      <c r="R71" s="10">
        <v>0</v>
      </c>
      <c r="S71" s="15">
        <v>0</v>
      </c>
      <c r="T71" s="14">
        <v>0</v>
      </c>
      <c r="U71" s="10">
        <v>0</v>
      </c>
      <c r="V71" s="10">
        <v>0</v>
      </c>
      <c r="W71" s="10">
        <v>0</v>
      </c>
      <c r="X71" s="1">
        <v>0</v>
      </c>
      <c r="Y71" s="10">
        <v>0</v>
      </c>
      <c r="Z71" s="10">
        <v>0</v>
      </c>
      <c r="AA71" s="2">
        <v>0</v>
      </c>
      <c r="AB71" s="1">
        <v>0</v>
      </c>
      <c r="AC71" s="10">
        <v>0</v>
      </c>
      <c r="AD71" s="10">
        <v>0</v>
      </c>
      <c r="AE71" s="2">
        <v>0</v>
      </c>
      <c r="AF71" s="10">
        <v>0</v>
      </c>
      <c r="AG71" s="10">
        <v>0</v>
      </c>
      <c r="AH71" s="10">
        <v>0</v>
      </c>
      <c r="AI71" s="15">
        <v>0</v>
      </c>
      <c r="AJ71" s="14">
        <v>0</v>
      </c>
      <c r="AK71" s="10">
        <v>0</v>
      </c>
      <c r="AL71" s="10">
        <v>0</v>
      </c>
      <c r="AM71" s="10">
        <v>0</v>
      </c>
      <c r="AN71" s="1">
        <v>0</v>
      </c>
      <c r="AO71" s="10">
        <v>0</v>
      </c>
      <c r="AP71" s="10">
        <v>0</v>
      </c>
      <c r="AQ71" s="2">
        <v>0</v>
      </c>
      <c r="AR71" s="1">
        <v>0</v>
      </c>
      <c r="AS71" s="10">
        <v>0</v>
      </c>
      <c r="AT71" s="10">
        <v>0</v>
      </c>
      <c r="AU71" s="2">
        <v>0</v>
      </c>
      <c r="AV71" s="10">
        <v>0</v>
      </c>
      <c r="AW71" s="10">
        <v>0</v>
      </c>
      <c r="AX71" s="10">
        <v>0</v>
      </c>
      <c r="AY71" s="15">
        <v>0</v>
      </c>
      <c r="AZ71" s="14">
        <v>0</v>
      </c>
      <c r="BA71" s="10">
        <v>0</v>
      </c>
      <c r="BB71" s="10">
        <v>0</v>
      </c>
      <c r="BC71" s="10">
        <v>0</v>
      </c>
      <c r="BD71" s="1">
        <v>0</v>
      </c>
      <c r="BE71" s="10">
        <v>0</v>
      </c>
      <c r="BF71" s="10">
        <v>0</v>
      </c>
      <c r="BG71" s="2">
        <v>0</v>
      </c>
      <c r="BH71" s="1">
        <v>0</v>
      </c>
      <c r="BI71" s="10">
        <v>0</v>
      </c>
      <c r="BJ71" s="10">
        <v>0</v>
      </c>
      <c r="BK71" s="2">
        <v>0</v>
      </c>
      <c r="BL71" s="10">
        <v>0</v>
      </c>
      <c r="BM71" s="10">
        <v>0</v>
      </c>
      <c r="BN71" s="10">
        <v>0</v>
      </c>
      <c r="BO71" s="15">
        <v>0</v>
      </c>
    </row>
    <row r="72" spans="1:67" s="3" customFormat="1" x14ac:dyDescent="0.25">
      <c r="A72" s="4"/>
      <c r="C72" s="3">
        <v>69</v>
      </c>
      <c r="D72" s="16">
        <v>0</v>
      </c>
      <c r="E72" s="3">
        <v>0</v>
      </c>
      <c r="F72" s="3">
        <v>0</v>
      </c>
      <c r="G72" s="3">
        <v>0</v>
      </c>
      <c r="H72" s="4">
        <v>0</v>
      </c>
      <c r="I72" s="3">
        <v>0</v>
      </c>
      <c r="J72" s="3">
        <v>0</v>
      </c>
      <c r="K72" s="5">
        <v>0</v>
      </c>
      <c r="L72" s="4">
        <v>0</v>
      </c>
      <c r="M72" s="3">
        <v>0</v>
      </c>
      <c r="N72" s="3">
        <v>0</v>
      </c>
      <c r="O72" s="5">
        <v>0</v>
      </c>
      <c r="P72" s="3">
        <v>0</v>
      </c>
      <c r="Q72" s="3">
        <v>0</v>
      </c>
      <c r="R72" s="3">
        <v>0</v>
      </c>
      <c r="S72" s="17">
        <v>0</v>
      </c>
      <c r="T72" s="16">
        <v>0</v>
      </c>
      <c r="U72" s="3">
        <v>0</v>
      </c>
      <c r="V72" s="3">
        <v>0</v>
      </c>
      <c r="W72" s="3">
        <v>0</v>
      </c>
      <c r="X72" s="4">
        <v>0</v>
      </c>
      <c r="Y72" s="3">
        <v>0</v>
      </c>
      <c r="Z72" s="3">
        <v>0</v>
      </c>
      <c r="AA72" s="5">
        <v>0</v>
      </c>
      <c r="AB72" s="4">
        <v>0</v>
      </c>
      <c r="AC72" s="3">
        <v>0</v>
      </c>
      <c r="AD72" s="3">
        <v>0</v>
      </c>
      <c r="AE72" s="5">
        <v>0</v>
      </c>
      <c r="AF72" s="3">
        <v>0</v>
      </c>
      <c r="AG72" s="3">
        <v>0</v>
      </c>
      <c r="AH72" s="3">
        <v>0</v>
      </c>
      <c r="AI72" s="17">
        <v>0</v>
      </c>
      <c r="AJ72" s="16">
        <v>0</v>
      </c>
      <c r="AK72" s="3">
        <v>0</v>
      </c>
      <c r="AL72" s="3">
        <v>0</v>
      </c>
      <c r="AM72" s="3">
        <v>0</v>
      </c>
      <c r="AN72" s="4">
        <v>0</v>
      </c>
      <c r="AO72" s="3">
        <v>0</v>
      </c>
      <c r="AP72" s="3">
        <v>0</v>
      </c>
      <c r="AQ72" s="5">
        <v>0</v>
      </c>
      <c r="AR72" s="4">
        <v>0</v>
      </c>
      <c r="AS72" s="3">
        <v>0</v>
      </c>
      <c r="AT72" s="3">
        <v>0</v>
      </c>
      <c r="AU72" s="5">
        <v>0</v>
      </c>
      <c r="AV72" s="3">
        <v>0</v>
      </c>
      <c r="AW72" s="3">
        <v>0</v>
      </c>
      <c r="AX72" s="3">
        <v>0</v>
      </c>
      <c r="AY72" s="17">
        <v>0</v>
      </c>
      <c r="AZ72" s="16">
        <v>0</v>
      </c>
      <c r="BA72" s="3">
        <v>0</v>
      </c>
      <c r="BB72" s="3">
        <v>0</v>
      </c>
      <c r="BC72" s="3">
        <v>0</v>
      </c>
      <c r="BD72" s="4">
        <v>0</v>
      </c>
      <c r="BE72" s="3">
        <v>0</v>
      </c>
      <c r="BF72" s="3">
        <v>0</v>
      </c>
      <c r="BG72" s="5">
        <v>0</v>
      </c>
      <c r="BH72" s="4">
        <v>0</v>
      </c>
      <c r="BI72" s="3">
        <v>0</v>
      </c>
      <c r="BJ72" s="3">
        <v>0</v>
      </c>
      <c r="BK72" s="5">
        <v>0</v>
      </c>
      <c r="BL72" s="3">
        <v>0</v>
      </c>
      <c r="BM72" s="3">
        <v>0</v>
      </c>
      <c r="BN72" s="3">
        <v>0</v>
      </c>
      <c r="BO72" s="17">
        <v>0</v>
      </c>
    </row>
    <row r="73" spans="1:67" s="10" customFormat="1" x14ac:dyDescent="0.25">
      <c r="A73" s="1"/>
      <c r="C73" s="10">
        <v>70</v>
      </c>
      <c r="D73" s="14">
        <v>0</v>
      </c>
      <c r="E73" s="10">
        <v>0</v>
      </c>
      <c r="F73" s="10">
        <v>0</v>
      </c>
      <c r="G73" s="10">
        <v>0</v>
      </c>
      <c r="H73" s="1">
        <v>0</v>
      </c>
      <c r="I73" s="10">
        <v>0</v>
      </c>
      <c r="J73" s="10">
        <v>0</v>
      </c>
      <c r="K73" s="2">
        <v>0</v>
      </c>
      <c r="L73" s="1">
        <v>0</v>
      </c>
      <c r="M73" s="10">
        <v>0</v>
      </c>
      <c r="N73" s="10">
        <v>0</v>
      </c>
      <c r="O73" s="2">
        <v>0</v>
      </c>
      <c r="P73" s="10">
        <v>0</v>
      </c>
      <c r="Q73" s="10">
        <v>0</v>
      </c>
      <c r="R73" s="10">
        <v>0</v>
      </c>
      <c r="S73" s="15">
        <v>0</v>
      </c>
      <c r="T73" s="14">
        <v>0</v>
      </c>
      <c r="U73" s="10">
        <v>0</v>
      </c>
      <c r="V73" s="10">
        <v>0</v>
      </c>
      <c r="W73" s="10">
        <v>0</v>
      </c>
      <c r="X73" s="1">
        <v>0</v>
      </c>
      <c r="Y73" s="10">
        <v>0</v>
      </c>
      <c r="Z73" s="10">
        <v>0</v>
      </c>
      <c r="AA73" s="2">
        <v>0</v>
      </c>
      <c r="AB73" s="1">
        <v>0</v>
      </c>
      <c r="AC73" s="10">
        <v>0</v>
      </c>
      <c r="AD73" s="10">
        <v>0</v>
      </c>
      <c r="AE73" s="2">
        <v>0</v>
      </c>
      <c r="AF73" s="10">
        <v>0</v>
      </c>
      <c r="AG73" s="10">
        <v>0</v>
      </c>
      <c r="AH73" s="10">
        <v>0</v>
      </c>
      <c r="AI73" s="15">
        <v>0</v>
      </c>
      <c r="AJ73" s="14">
        <v>0</v>
      </c>
      <c r="AK73" s="10">
        <v>0</v>
      </c>
      <c r="AL73" s="10">
        <v>0</v>
      </c>
      <c r="AM73" s="10">
        <v>0</v>
      </c>
      <c r="AN73" s="1">
        <v>0</v>
      </c>
      <c r="AO73" s="10">
        <v>0</v>
      </c>
      <c r="AP73" s="10">
        <v>0</v>
      </c>
      <c r="AQ73" s="2">
        <v>0</v>
      </c>
      <c r="AR73" s="1">
        <v>0</v>
      </c>
      <c r="AS73" s="10">
        <v>0</v>
      </c>
      <c r="AT73" s="10">
        <v>0</v>
      </c>
      <c r="AU73" s="2">
        <v>0</v>
      </c>
      <c r="AV73" s="10">
        <v>0</v>
      </c>
      <c r="AW73" s="10">
        <v>0</v>
      </c>
      <c r="AX73" s="10">
        <v>0</v>
      </c>
      <c r="AY73" s="15">
        <v>0</v>
      </c>
      <c r="AZ73" s="14">
        <v>0</v>
      </c>
      <c r="BA73" s="10">
        <v>0</v>
      </c>
      <c r="BB73" s="10">
        <v>0</v>
      </c>
      <c r="BC73" s="10">
        <v>0</v>
      </c>
      <c r="BD73" s="1">
        <v>0</v>
      </c>
      <c r="BE73" s="10">
        <v>0</v>
      </c>
      <c r="BF73" s="10">
        <v>0</v>
      </c>
      <c r="BG73" s="2">
        <v>0</v>
      </c>
      <c r="BH73" s="1">
        <v>0</v>
      </c>
      <c r="BI73" s="10">
        <v>0</v>
      </c>
      <c r="BJ73" s="10">
        <v>0</v>
      </c>
      <c r="BK73" s="2">
        <v>0</v>
      </c>
      <c r="BL73" s="10">
        <v>0</v>
      </c>
      <c r="BM73" s="10">
        <v>0</v>
      </c>
      <c r="BN73" s="10">
        <v>0</v>
      </c>
      <c r="BO73" s="15">
        <v>0</v>
      </c>
    </row>
    <row r="74" spans="1:67" s="10" customFormat="1" x14ac:dyDescent="0.25">
      <c r="A74" s="1"/>
      <c r="C74" s="10">
        <v>71</v>
      </c>
      <c r="D74" s="14">
        <v>0</v>
      </c>
      <c r="E74" s="10">
        <v>0</v>
      </c>
      <c r="F74" s="10">
        <v>0</v>
      </c>
      <c r="G74" s="10">
        <v>0</v>
      </c>
      <c r="H74" s="1">
        <v>0</v>
      </c>
      <c r="I74" s="10">
        <v>0</v>
      </c>
      <c r="J74" s="10">
        <v>0</v>
      </c>
      <c r="K74" s="2">
        <v>0</v>
      </c>
      <c r="L74" s="1">
        <v>0</v>
      </c>
      <c r="M74" s="10">
        <v>0</v>
      </c>
      <c r="N74" s="10">
        <v>0</v>
      </c>
      <c r="O74" s="2">
        <v>0</v>
      </c>
      <c r="P74" s="10">
        <v>0</v>
      </c>
      <c r="Q74" s="10">
        <v>0</v>
      </c>
      <c r="R74" s="10">
        <v>0</v>
      </c>
      <c r="S74" s="15">
        <v>0</v>
      </c>
      <c r="T74" s="14">
        <v>0</v>
      </c>
      <c r="U74" s="10">
        <v>0</v>
      </c>
      <c r="V74" s="10">
        <v>0</v>
      </c>
      <c r="W74" s="10">
        <v>0</v>
      </c>
      <c r="X74" s="1">
        <v>0</v>
      </c>
      <c r="Y74" s="10">
        <v>0</v>
      </c>
      <c r="Z74" s="10">
        <v>0</v>
      </c>
      <c r="AA74" s="2">
        <v>0</v>
      </c>
      <c r="AB74" s="1">
        <v>0</v>
      </c>
      <c r="AC74" s="10">
        <v>0</v>
      </c>
      <c r="AD74" s="10">
        <v>0</v>
      </c>
      <c r="AE74" s="2">
        <v>0</v>
      </c>
      <c r="AF74" s="10">
        <v>0</v>
      </c>
      <c r="AG74" s="10">
        <v>0</v>
      </c>
      <c r="AH74" s="10">
        <v>0</v>
      </c>
      <c r="AI74" s="15">
        <v>0</v>
      </c>
      <c r="AJ74" s="14">
        <v>0</v>
      </c>
      <c r="AK74" s="10">
        <v>0</v>
      </c>
      <c r="AL74" s="10">
        <v>0</v>
      </c>
      <c r="AM74" s="10">
        <v>0</v>
      </c>
      <c r="AN74" s="1">
        <v>0</v>
      </c>
      <c r="AO74" s="10">
        <v>0</v>
      </c>
      <c r="AP74" s="10">
        <v>0</v>
      </c>
      <c r="AQ74" s="2">
        <v>0</v>
      </c>
      <c r="AR74" s="1">
        <v>0</v>
      </c>
      <c r="AS74" s="10">
        <v>0</v>
      </c>
      <c r="AT74" s="10">
        <v>0</v>
      </c>
      <c r="AU74" s="2">
        <v>0</v>
      </c>
      <c r="AV74" s="10">
        <v>0</v>
      </c>
      <c r="AW74" s="10">
        <v>0</v>
      </c>
      <c r="AX74" s="10">
        <v>0</v>
      </c>
      <c r="AY74" s="15">
        <v>0</v>
      </c>
      <c r="AZ74" s="14">
        <v>0</v>
      </c>
      <c r="BA74" s="10">
        <v>0</v>
      </c>
      <c r="BB74" s="10">
        <v>0</v>
      </c>
      <c r="BC74" s="10">
        <v>0</v>
      </c>
      <c r="BD74" s="1">
        <v>0</v>
      </c>
      <c r="BE74" s="10">
        <v>0</v>
      </c>
      <c r="BF74" s="10">
        <v>0</v>
      </c>
      <c r="BG74" s="2">
        <v>0</v>
      </c>
      <c r="BH74" s="1">
        <v>0</v>
      </c>
      <c r="BI74" s="10">
        <v>0</v>
      </c>
      <c r="BJ74" s="10">
        <v>0</v>
      </c>
      <c r="BK74" s="2">
        <v>0</v>
      </c>
      <c r="BL74" s="10">
        <v>0</v>
      </c>
      <c r="BM74" s="10">
        <v>0</v>
      </c>
      <c r="BN74" s="10">
        <v>0</v>
      </c>
      <c r="BO74" s="15">
        <v>0</v>
      </c>
    </row>
    <row r="75" spans="1:67" s="6" customFormat="1" x14ac:dyDescent="0.25">
      <c r="A75" s="7"/>
      <c r="C75" s="6">
        <v>72</v>
      </c>
      <c r="D75" s="18">
        <v>0</v>
      </c>
      <c r="E75" s="6">
        <v>0</v>
      </c>
      <c r="F75" s="6">
        <v>0</v>
      </c>
      <c r="G75" s="6">
        <v>0</v>
      </c>
      <c r="H75" s="7">
        <v>0</v>
      </c>
      <c r="I75" s="6">
        <v>0</v>
      </c>
      <c r="J75" s="6">
        <v>0</v>
      </c>
      <c r="K75" s="8">
        <v>0</v>
      </c>
      <c r="L75" s="7">
        <v>0</v>
      </c>
      <c r="M75" s="6">
        <v>0</v>
      </c>
      <c r="N75" s="6">
        <v>0</v>
      </c>
      <c r="O75" s="8">
        <v>0</v>
      </c>
      <c r="P75" s="6">
        <v>0</v>
      </c>
      <c r="Q75" s="6">
        <v>0</v>
      </c>
      <c r="R75" s="6">
        <v>0</v>
      </c>
      <c r="S75" s="19">
        <v>0</v>
      </c>
      <c r="T75" s="18">
        <v>0</v>
      </c>
      <c r="U75" s="6">
        <v>0</v>
      </c>
      <c r="V75" s="6">
        <v>0</v>
      </c>
      <c r="W75" s="6">
        <v>0</v>
      </c>
      <c r="X75" s="7">
        <v>0</v>
      </c>
      <c r="Y75" s="6">
        <v>0</v>
      </c>
      <c r="Z75" s="6">
        <v>0</v>
      </c>
      <c r="AA75" s="8">
        <v>0</v>
      </c>
      <c r="AB75" s="7">
        <v>0</v>
      </c>
      <c r="AC75" s="6">
        <v>0</v>
      </c>
      <c r="AD75" s="6">
        <v>0</v>
      </c>
      <c r="AE75" s="8">
        <v>0</v>
      </c>
      <c r="AF75" s="6">
        <v>0</v>
      </c>
      <c r="AG75" s="6">
        <v>0</v>
      </c>
      <c r="AH75" s="6">
        <v>0</v>
      </c>
      <c r="AI75" s="19">
        <v>0</v>
      </c>
      <c r="AJ75" s="18">
        <v>0</v>
      </c>
      <c r="AK75" s="6">
        <v>0</v>
      </c>
      <c r="AL75" s="6">
        <v>0</v>
      </c>
      <c r="AM75" s="6">
        <v>0</v>
      </c>
      <c r="AN75" s="7">
        <v>0</v>
      </c>
      <c r="AO75" s="6">
        <v>0</v>
      </c>
      <c r="AP75" s="6">
        <v>0</v>
      </c>
      <c r="AQ75" s="8">
        <v>0</v>
      </c>
      <c r="AR75" s="7">
        <v>0</v>
      </c>
      <c r="AS75" s="6">
        <v>0</v>
      </c>
      <c r="AT75" s="6">
        <v>0</v>
      </c>
      <c r="AU75" s="8">
        <v>0</v>
      </c>
      <c r="AV75" s="6">
        <v>0</v>
      </c>
      <c r="AW75" s="6">
        <v>0</v>
      </c>
      <c r="AX75" s="6">
        <v>0</v>
      </c>
      <c r="AY75" s="19">
        <v>0</v>
      </c>
      <c r="AZ75" s="18">
        <v>0</v>
      </c>
      <c r="BA75" s="6">
        <v>0</v>
      </c>
      <c r="BB75" s="6">
        <v>0</v>
      </c>
      <c r="BC75" s="6">
        <v>0</v>
      </c>
      <c r="BD75" s="7">
        <v>0</v>
      </c>
      <c r="BE75" s="6">
        <v>0</v>
      </c>
      <c r="BF75" s="6">
        <v>0</v>
      </c>
      <c r="BG75" s="8">
        <v>0</v>
      </c>
      <c r="BH75" s="7">
        <v>0</v>
      </c>
      <c r="BI75" s="6">
        <v>0</v>
      </c>
      <c r="BJ75" s="6">
        <v>0</v>
      </c>
      <c r="BK75" s="8">
        <v>0</v>
      </c>
      <c r="BL75" s="6">
        <v>0</v>
      </c>
      <c r="BM75" s="6">
        <v>0</v>
      </c>
      <c r="BN75" s="6">
        <v>0</v>
      </c>
      <c r="BO75" s="19">
        <v>0</v>
      </c>
    </row>
    <row r="76" spans="1:67" s="10" customFormat="1" x14ac:dyDescent="0.25">
      <c r="A76" s="14"/>
      <c r="C76" s="10">
        <v>73</v>
      </c>
      <c r="D76" s="14">
        <v>0</v>
      </c>
      <c r="E76" s="10">
        <v>0</v>
      </c>
      <c r="F76" s="10">
        <v>0</v>
      </c>
      <c r="G76" s="10">
        <v>0</v>
      </c>
      <c r="H76" s="1">
        <v>0</v>
      </c>
      <c r="I76" s="10">
        <v>0</v>
      </c>
      <c r="J76" s="10">
        <v>0</v>
      </c>
      <c r="K76" s="2">
        <v>0</v>
      </c>
      <c r="L76" s="1">
        <v>0</v>
      </c>
      <c r="M76" s="10">
        <v>0</v>
      </c>
      <c r="N76" s="10">
        <v>0</v>
      </c>
      <c r="O76" s="2">
        <v>0</v>
      </c>
      <c r="P76" s="10">
        <v>0</v>
      </c>
      <c r="Q76" s="10">
        <v>0</v>
      </c>
      <c r="R76" s="10">
        <v>0</v>
      </c>
      <c r="S76" s="15">
        <v>0</v>
      </c>
      <c r="T76" s="14">
        <v>0</v>
      </c>
      <c r="U76" s="10">
        <v>0</v>
      </c>
      <c r="V76" s="10">
        <v>0</v>
      </c>
      <c r="W76" s="10">
        <v>0</v>
      </c>
      <c r="X76" s="1">
        <v>0</v>
      </c>
      <c r="Y76" s="10">
        <v>0</v>
      </c>
      <c r="Z76" s="10">
        <v>0</v>
      </c>
      <c r="AA76" s="2">
        <v>0</v>
      </c>
      <c r="AB76" s="1">
        <v>0</v>
      </c>
      <c r="AC76" s="10">
        <v>0</v>
      </c>
      <c r="AD76" s="10">
        <v>0</v>
      </c>
      <c r="AE76" s="2">
        <v>0</v>
      </c>
      <c r="AF76" s="10">
        <v>0</v>
      </c>
      <c r="AG76" s="10">
        <v>0</v>
      </c>
      <c r="AH76" s="10">
        <v>0</v>
      </c>
      <c r="AI76" s="15">
        <v>0</v>
      </c>
      <c r="AJ76" s="14">
        <v>0</v>
      </c>
      <c r="AK76" s="10">
        <v>0</v>
      </c>
      <c r="AL76" s="10">
        <v>0</v>
      </c>
      <c r="AM76" s="10">
        <v>0</v>
      </c>
      <c r="AN76" s="1">
        <v>0</v>
      </c>
      <c r="AO76" s="10">
        <v>0</v>
      </c>
      <c r="AP76" s="10">
        <v>0</v>
      </c>
      <c r="AQ76" s="2">
        <v>0</v>
      </c>
      <c r="AR76" s="1">
        <v>0</v>
      </c>
      <c r="AS76" s="10">
        <v>0</v>
      </c>
      <c r="AT76" s="10">
        <v>0</v>
      </c>
      <c r="AU76" s="2">
        <v>0</v>
      </c>
      <c r="AV76" s="10">
        <v>0</v>
      </c>
      <c r="AW76" s="10">
        <v>0</v>
      </c>
      <c r="AX76" s="10">
        <v>0</v>
      </c>
      <c r="AY76" s="15">
        <v>0</v>
      </c>
      <c r="AZ76" s="14">
        <v>0</v>
      </c>
      <c r="BA76" s="10">
        <v>0</v>
      </c>
      <c r="BB76" s="10">
        <v>0</v>
      </c>
      <c r="BC76" s="10">
        <v>0</v>
      </c>
      <c r="BD76" s="1">
        <v>0</v>
      </c>
      <c r="BE76" s="10">
        <v>0</v>
      </c>
      <c r="BF76" s="10">
        <v>0</v>
      </c>
      <c r="BG76" s="2">
        <v>0</v>
      </c>
      <c r="BH76" s="1">
        <v>0</v>
      </c>
      <c r="BI76" s="10">
        <v>0</v>
      </c>
      <c r="BJ76" s="10">
        <v>0</v>
      </c>
      <c r="BK76" s="2">
        <v>0</v>
      </c>
      <c r="BL76" s="10">
        <v>0</v>
      </c>
      <c r="BM76" s="10">
        <v>0</v>
      </c>
      <c r="BN76" s="10">
        <v>0</v>
      </c>
      <c r="BO76" s="15">
        <v>0</v>
      </c>
    </row>
    <row r="77" spans="1:67" s="10" customFormat="1" x14ac:dyDescent="0.25">
      <c r="A77" s="14"/>
      <c r="C77" s="10">
        <v>74</v>
      </c>
      <c r="D77" s="14">
        <v>0</v>
      </c>
      <c r="E77" s="10">
        <v>0</v>
      </c>
      <c r="F77" s="10">
        <v>0</v>
      </c>
      <c r="G77" s="10">
        <v>0</v>
      </c>
      <c r="H77" s="1">
        <v>0</v>
      </c>
      <c r="I77" s="10">
        <v>0</v>
      </c>
      <c r="J77" s="10">
        <v>0</v>
      </c>
      <c r="K77" s="2">
        <v>0</v>
      </c>
      <c r="L77" s="1">
        <v>0</v>
      </c>
      <c r="M77" s="10">
        <v>0</v>
      </c>
      <c r="N77" s="10">
        <v>0</v>
      </c>
      <c r="O77" s="2">
        <v>0</v>
      </c>
      <c r="P77" s="10">
        <v>0</v>
      </c>
      <c r="Q77" s="10">
        <v>0</v>
      </c>
      <c r="R77" s="10">
        <v>0</v>
      </c>
      <c r="S77" s="15">
        <v>0</v>
      </c>
      <c r="T77" s="14">
        <v>0</v>
      </c>
      <c r="U77" s="10">
        <v>0</v>
      </c>
      <c r="V77" s="10">
        <v>0</v>
      </c>
      <c r="W77" s="10">
        <v>0</v>
      </c>
      <c r="X77" s="1">
        <v>0</v>
      </c>
      <c r="Y77" s="10">
        <v>0</v>
      </c>
      <c r="Z77" s="10">
        <v>0</v>
      </c>
      <c r="AA77" s="2">
        <v>0</v>
      </c>
      <c r="AB77" s="1">
        <v>0</v>
      </c>
      <c r="AC77" s="10">
        <v>0</v>
      </c>
      <c r="AD77" s="10">
        <v>0</v>
      </c>
      <c r="AE77" s="2">
        <v>0</v>
      </c>
      <c r="AF77" s="10">
        <v>0</v>
      </c>
      <c r="AG77" s="10">
        <v>0</v>
      </c>
      <c r="AH77" s="10">
        <v>0</v>
      </c>
      <c r="AI77" s="15">
        <v>0</v>
      </c>
      <c r="AJ77" s="14">
        <v>0</v>
      </c>
      <c r="AK77" s="10">
        <v>0</v>
      </c>
      <c r="AL77" s="10">
        <v>0</v>
      </c>
      <c r="AM77" s="10">
        <v>0</v>
      </c>
      <c r="AN77" s="1">
        <v>0</v>
      </c>
      <c r="AO77" s="10">
        <v>0</v>
      </c>
      <c r="AP77" s="10">
        <v>0</v>
      </c>
      <c r="AQ77" s="2">
        <v>0</v>
      </c>
      <c r="AR77" s="1">
        <v>0</v>
      </c>
      <c r="AS77" s="10">
        <v>0</v>
      </c>
      <c r="AT77" s="10">
        <v>0</v>
      </c>
      <c r="AU77" s="2">
        <v>0</v>
      </c>
      <c r="AV77" s="10">
        <v>0</v>
      </c>
      <c r="AW77" s="10">
        <v>0</v>
      </c>
      <c r="AX77" s="10">
        <v>0</v>
      </c>
      <c r="AY77" s="15">
        <v>0</v>
      </c>
      <c r="AZ77" s="14">
        <v>0</v>
      </c>
      <c r="BA77" s="10">
        <v>0</v>
      </c>
      <c r="BB77" s="10">
        <v>0</v>
      </c>
      <c r="BC77" s="10">
        <v>0</v>
      </c>
      <c r="BD77" s="1">
        <v>0</v>
      </c>
      <c r="BE77" s="10">
        <v>0</v>
      </c>
      <c r="BF77" s="10">
        <v>0</v>
      </c>
      <c r="BG77" s="2">
        <v>0</v>
      </c>
      <c r="BH77" s="1">
        <v>0</v>
      </c>
      <c r="BI77" s="10">
        <v>0</v>
      </c>
      <c r="BJ77" s="10">
        <v>0</v>
      </c>
      <c r="BK77" s="2">
        <v>0</v>
      </c>
      <c r="BL77" s="10">
        <v>0</v>
      </c>
      <c r="BM77" s="10">
        <v>0</v>
      </c>
      <c r="BN77" s="10">
        <v>0</v>
      </c>
      <c r="BO77" s="15">
        <v>0</v>
      </c>
    </row>
    <row r="78" spans="1:67" s="10" customFormat="1" x14ac:dyDescent="0.25">
      <c r="A78" s="14"/>
      <c r="C78" s="10">
        <v>75</v>
      </c>
      <c r="D78" s="14">
        <v>0</v>
      </c>
      <c r="E78" s="10">
        <v>0</v>
      </c>
      <c r="F78" s="10">
        <v>0</v>
      </c>
      <c r="G78" s="10">
        <v>0</v>
      </c>
      <c r="H78" s="1">
        <v>0</v>
      </c>
      <c r="I78" s="10">
        <v>0</v>
      </c>
      <c r="J78" s="10">
        <v>0</v>
      </c>
      <c r="K78" s="2">
        <v>0</v>
      </c>
      <c r="L78" s="1">
        <v>0</v>
      </c>
      <c r="M78" s="10">
        <v>0</v>
      </c>
      <c r="N78" s="10">
        <v>0</v>
      </c>
      <c r="O78" s="2">
        <v>0</v>
      </c>
      <c r="P78" s="10">
        <v>0</v>
      </c>
      <c r="Q78" s="10">
        <v>0</v>
      </c>
      <c r="R78" s="10">
        <v>0</v>
      </c>
      <c r="S78" s="15">
        <v>0</v>
      </c>
      <c r="T78" s="14">
        <v>0</v>
      </c>
      <c r="U78" s="10">
        <v>0</v>
      </c>
      <c r="V78" s="10">
        <v>0</v>
      </c>
      <c r="W78" s="10">
        <v>0</v>
      </c>
      <c r="X78" s="1">
        <v>0</v>
      </c>
      <c r="Y78" s="10">
        <v>0</v>
      </c>
      <c r="Z78" s="10">
        <v>0</v>
      </c>
      <c r="AA78" s="2">
        <v>0</v>
      </c>
      <c r="AB78" s="1">
        <v>0</v>
      </c>
      <c r="AC78" s="10">
        <v>0</v>
      </c>
      <c r="AD78" s="10">
        <v>0</v>
      </c>
      <c r="AE78" s="2">
        <v>0</v>
      </c>
      <c r="AF78" s="10">
        <v>0</v>
      </c>
      <c r="AG78" s="10">
        <v>0</v>
      </c>
      <c r="AH78" s="10">
        <v>0</v>
      </c>
      <c r="AI78" s="15">
        <v>0</v>
      </c>
      <c r="AJ78" s="14">
        <v>0</v>
      </c>
      <c r="AK78" s="10">
        <v>0</v>
      </c>
      <c r="AL78" s="10">
        <v>0</v>
      </c>
      <c r="AM78" s="10">
        <v>0</v>
      </c>
      <c r="AN78" s="1">
        <v>0</v>
      </c>
      <c r="AO78" s="10">
        <v>0</v>
      </c>
      <c r="AP78" s="10">
        <v>0</v>
      </c>
      <c r="AQ78" s="2">
        <v>0</v>
      </c>
      <c r="AR78" s="1">
        <v>0</v>
      </c>
      <c r="AS78" s="10">
        <v>0</v>
      </c>
      <c r="AT78" s="10">
        <v>0</v>
      </c>
      <c r="AU78" s="2">
        <v>0</v>
      </c>
      <c r="AV78" s="10">
        <v>0</v>
      </c>
      <c r="AW78" s="10">
        <v>0</v>
      </c>
      <c r="AX78" s="10">
        <v>0</v>
      </c>
      <c r="AY78" s="15">
        <v>0</v>
      </c>
      <c r="AZ78" s="14">
        <v>0</v>
      </c>
      <c r="BA78" s="10">
        <v>0</v>
      </c>
      <c r="BB78" s="10">
        <v>0</v>
      </c>
      <c r="BC78" s="10">
        <v>0</v>
      </c>
      <c r="BD78" s="1">
        <v>0</v>
      </c>
      <c r="BE78" s="10">
        <v>0</v>
      </c>
      <c r="BF78" s="10">
        <v>0</v>
      </c>
      <c r="BG78" s="2">
        <v>0</v>
      </c>
      <c r="BH78" s="1">
        <v>0</v>
      </c>
      <c r="BI78" s="10">
        <v>0</v>
      </c>
      <c r="BJ78" s="10">
        <v>0</v>
      </c>
      <c r="BK78" s="2">
        <v>0</v>
      </c>
      <c r="BL78" s="10">
        <v>0</v>
      </c>
      <c r="BM78" s="10">
        <v>0</v>
      </c>
      <c r="BN78" s="10">
        <v>0</v>
      </c>
      <c r="BO78" s="15">
        <v>0</v>
      </c>
    </row>
    <row r="79" spans="1:67" s="10" customFormat="1" x14ac:dyDescent="0.25">
      <c r="A79" s="14"/>
      <c r="C79" s="10">
        <v>76</v>
      </c>
      <c r="D79" s="14">
        <v>0</v>
      </c>
      <c r="E79" s="10">
        <v>0</v>
      </c>
      <c r="F79" s="10">
        <v>0</v>
      </c>
      <c r="G79" s="10">
        <v>0</v>
      </c>
      <c r="H79" s="1">
        <v>0</v>
      </c>
      <c r="I79" s="10">
        <v>0</v>
      </c>
      <c r="J79" s="10">
        <v>0</v>
      </c>
      <c r="K79" s="2">
        <v>0</v>
      </c>
      <c r="L79" s="1">
        <v>0</v>
      </c>
      <c r="M79" s="10">
        <v>0</v>
      </c>
      <c r="N79" s="10">
        <v>0</v>
      </c>
      <c r="O79" s="2">
        <v>0</v>
      </c>
      <c r="P79" s="10">
        <v>0</v>
      </c>
      <c r="Q79" s="10">
        <v>0</v>
      </c>
      <c r="R79" s="10">
        <v>0</v>
      </c>
      <c r="S79" s="15">
        <v>0</v>
      </c>
      <c r="T79" s="14">
        <v>0</v>
      </c>
      <c r="U79" s="10">
        <v>0</v>
      </c>
      <c r="V79" s="10">
        <v>0</v>
      </c>
      <c r="W79" s="10">
        <v>0</v>
      </c>
      <c r="X79" s="1">
        <v>0</v>
      </c>
      <c r="Y79" s="10">
        <v>0</v>
      </c>
      <c r="Z79" s="10">
        <v>0</v>
      </c>
      <c r="AA79" s="2">
        <v>0</v>
      </c>
      <c r="AB79" s="1">
        <v>0</v>
      </c>
      <c r="AC79" s="10">
        <v>0</v>
      </c>
      <c r="AD79" s="10">
        <v>0</v>
      </c>
      <c r="AE79" s="2">
        <v>0</v>
      </c>
      <c r="AF79" s="10">
        <v>0</v>
      </c>
      <c r="AG79" s="10">
        <v>0</v>
      </c>
      <c r="AH79" s="10">
        <v>0</v>
      </c>
      <c r="AI79" s="15">
        <v>0</v>
      </c>
      <c r="AJ79" s="14">
        <v>0</v>
      </c>
      <c r="AK79" s="10">
        <v>0</v>
      </c>
      <c r="AL79" s="10">
        <v>0</v>
      </c>
      <c r="AM79" s="10">
        <v>0</v>
      </c>
      <c r="AN79" s="1">
        <v>0</v>
      </c>
      <c r="AO79" s="10">
        <v>0</v>
      </c>
      <c r="AP79" s="10">
        <v>0</v>
      </c>
      <c r="AQ79" s="2">
        <v>0</v>
      </c>
      <c r="AR79" s="1">
        <v>0</v>
      </c>
      <c r="AS79" s="10">
        <v>0</v>
      </c>
      <c r="AT79" s="10">
        <v>0</v>
      </c>
      <c r="AU79" s="2">
        <v>0</v>
      </c>
      <c r="AV79" s="10">
        <v>0</v>
      </c>
      <c r="AW79" s="10">
        <v>0</v>
      </c>
      <c r="AX79" s="10">
        <v>0</v>
      </c>
      <c r="AY79" s="15">
        <v>0</v>
      </c>
      <c r="AZ79" s="14">
        <v>0</v>
      </c>
      <c r="BA79" s="10">
        <v>0</v>
      </c>
      <c r="BB79" s="10">
        <v>0</v>
      </c>
      <c r="BC79" s="10">
        <v>0</v>
      </c>
      <c r="BD79" s="1">
        <v>0</v>
      </c>
      <c r="BE79" s="10">
        <v>0</v>
      </c>
      <c r="BF79" s="10">
        <v>0</v>
      </c>
      <c r="BG79" s="2">
        <v>0</v>
      </c>
      <c r="BH79" s="1">
        <v>0</v>
      </c>
      <c r="BI79" s="10">
        <v>0</v>
      </c>
      <c r="BJ79" s="10">
        <v>0</v>
      </c>
      <c r="BK79" s="2">
        <v>0</v>
      </c>
      <c r="BL79" s="10">
        <v>0</v>
      </c>
      <c r="BM79" s="10">
        <v>0</v>
      </c>
      <c r="BN79" s="10">
        <v>0</v>
      </c>
      <c r="BO79" s="15">
        <v>0</v>
      </c>
    </row>
    <row r="80" spans="1:67" s="3" customFormat="1" x14ac:dyDescent="0.25">
      <c r="A80" s="4"/>
      <c r="C80" s="3">
        <v>77</v>
      </c>
      <c r="D80" s="16">
        <v>0</v>
      </c>
      <c r="E80" s="3">
        <v>0</v>
      </c>
      <c r="F80" s="3">
        <v>0</v>
      </c>
      <c r="G80" s="3">
        <v>0</v>
      </c>
      <c r="H80" s="4">
        <v>0</v>
      </c>
      <c r="I80" s="3">
        <v>0</v>
      </c>
      <c r="J80" s="3">
        <v>0</v>
      </c>
      <c r="K80" s="5">
        <v>0</v>
      </c>
      <c r="L80" s="4">
        <v>0</v>
      </c>
      <c r="M80" s="3">
        <v>0</v>
      </c>
      <c r="N80" s="3">
        <v>0</v>
      </c>
      <c r="O80" s="5">
        <v>0</v>
      </c>
      <c r="P80" s="3">
        <v>0</v>
      </c>
      <c r="Q80" s="3">
        <v>0</v>
      </c>
      <c r="R80" s="3">
        <v>0</v>
      </c>
      <c r="S80" s="17">
        <v>0</v>
      </c>
      <c r="T80" s="16">
        <v>0</v>
      </c>
      <c r="U80" s="3">
        <v>0</v>
      </c>
      <c r="V80" s="3">
        <v>0</v>
      </c>
      <c r="W80" s="3">
        <v>0</v>
      </c>
      <c r="X80" s="4">
        <v>0</v>
      </c>
      <c r="Y80" s="3">
        <v>0</v>
      </c>
      <c r="Z80" s="3">
        <v>0</v>
      </c>
      <c r="AA80" s="5">
        <v>0</v>
      </c>
      <c r="AB80" s="4">
        <v>0</v>
      </c>
      <c r="AC80" s="3">
        <v>0</v>
      </c>
      <c r="AD80" s="3">
        <v>0</v>
      </c>
      <c r="AE80" s="5">
        <v>0</v>
      </c>
      <c r="AF80" s="3">
        <v>0</v>
      </c>
      <c r="AG80" s="3">
        <v>0</v>
      </c>
      <c r="AH80" s="3">
        <v>0</v>
      </c>
      <c r="AI80" s="17">
        <v>0</v>
      </c>
      <c r="AJ80" s="16">
        <v>0</v>
      </c>
      <c r="AK80" s="3">
        <v>0</v>
      </c>
      <c r="AL80" s="3">
        <v>0</v>
      </c>
      <c r="AM80" s="3">
        <v>0</v>
      </c>
      <c r="AN80" s="4">
        <v>0</v>
      </c>
      <c r="AO80" s="3">
        <v>0</v>
      </c>
      <c r="AP80" s="3">
        <v>0</v>
      </c>
      <c r="AQ80" s="5">
        <v>0</v>
      </c>
      <c r="AR80" s="4">
        <v>0</v>
      </c>
      <c r="AS80" s="3">
        <v>0</v>
      </c>
      <c r="AT80" s="3">
        <v>0</v>
      </c>
      <c r="AU80" s="5">
        <v>0</v>
      </c>
      <c r="AV80" s="3">
        <v>0</v>
      </c>
      <c r="AW80" s="3">
        <v>0</v>
      </c>
      <c r="AX80" s="3">
        <v>0</v>
      </c>
      <c r="AY80" s="17">
        <v>0</v>
      </c>
      <c r="AZ80" s="16">
        <v>0</v>
      </c>
      <c r="BA80" s="3">
        <v>0</v>
      </c>
      <c r="BB80" s="3">
        <v>0</v>
      </c>
      <c r="BC80" s="3">
        <v>0</v>
      </c>
      <c r="BD80" s="4">
        <v>0</v>
      </c>
      <c r="BE80" s="3">
        <v>0</v>
      </c>
      <c r="BF80" s="3">
        <v>0</v>
      </c>
      <c r="BG80" s="5">
        <v>0</v>
      </c>
      <c r="BH80" s="4">
        <v>0</v>
      </c>
      <c r="BI80" s="3">
        <v>0</v>
      </c>
      <c r="BJ80" s="3">
        <v>0</v>
      </c>
      <c r="BK80" s="5">
        <v>0</v>
      </c>
      <c r="BL80" s="3">
        <v>0</v>
      </c>
      <c r="BM80" s="3">
        <v>0</v>
      </c>
      <c r="BN80" s="3">
        <v>0</v>
      </c>
      <c r="BO80" s="17">
        <v>0</v>
      </c>
    </row>
    <row r="81" spans="1:67" s="10" customFormat="1" x14ac:dyDescent="0.25">
      <c r="A81" s="1"/>
      <c r="C81" s="10">
        <v>78</v>
      </c>
      <c r="D81" s="14">
        <v>0</v>
      </c>
      <c r="E81" s="10">
        <v>0</v>
      </c>
      <c r="F81" s="10">
        <v>0</v>
      </c>
      <c r="G81" s="10">
        <v>0</v>
      </c>
      <c r="H81" s="1">
        <v>0</v>
      </c>
      <c r="I81" s="10">
        <v>0</v>
      </c>
      <c r="J81" s="10">
        <v>0</v>
      </c>
      <c r="K81" s="2">
        <v>0</v>
      </c>
      <c r="L81" s="1">
        <v>0</v>
      </c>
      <c r="M81" s="10">
        <v>0</v>
      </c>
      <c r="N81" s="10">
        <v>0</v>
      </c>
      <c r="O81" s="2">
        <v>0</v>
      </c>
      <c r="P81" s="10">
        <v>0</v>
      </c>
      <c r="Q81" s="10">
        <v>0</v>
      </c>
      <c r="R81" s="10">
        <v>0</v>
      </c>
      <c r="S81" s="15">
        <v>0</v>
      </c>
      <c r="T81" s="14">
        <v>0</v>
      </c>
      <c r="U81" s="10">
        <v>0</v>
      </c>
      <c r="V81" s="10">
        <v>0</v>
      </c>
      <c r="W81" s="10">
        <v>0</v>
      </c>
      <c r="X81" s="1">
        <v>0</v>
      </c>
      <c r="Y81" s="10">
        <v>0</v>
      </c>
      <c r="Z81" s="10">
        <v>0</v>
      </c>
      <c r="AA81" s="2">
        <v>0</v>
      </c>
      <c r="AB81" s="1">
        <v>0</v>
      </c>
      <c r="AC81" s="10">
        <v>0</v>
      </c>
      <c r="AD81" s="10">
        <v>0</v>
      </c>
      <c r="AE81" s="2">
        <v>0</v>
      </c>
      <c r="AF81" s="10">
        <v>0</v>
      </c>
      <c r="AG81" s="10">
        <v>0</v>
      </c>
      <c r="AH81" s="10">
        <v>0</v>
      </c>
      <c r="AI81" s="15">
        <v>0</v>
      </c>
      <c r="AJ81" s="14">
        <v>0</v>
      </c>
      <c r="AK81" s="10">
        <v>0</v>
      </c>
      <c r="AL81" s="10">
        <v>0</v>
      </c>
      <c r="AM81" s="10">
        <v>0</v>
      </c>
      <c r="AN81" s="1">
        <v>0</v>
      </c>
      <c r="AO81" s="10">
        <v>0</v>
      </c>
      <c r="AP81" s="10">
        <v>0</v>
      </c>
      <c r="AQ81" s="2">
        <v>0</v>
      </c>
      <c r="AR81" s="1">
        <v>0</v>
      </c>
      <c r="AS81" s="10">
        <v>0</v>
      </c>
      <c r="AT81" s="10">
        <v>0</v>
      </c>
      <c r="AU81" s="2">
        <v>0</v>
      </c>
      <c r="AV81" s="10">
        <v>0</v>
      </c>
      <c r="AW81" s="10">
        <v>0</v>
      </c>
      <c r="AX81" s="10">
        <v>0</v>
      </c>
      <c r="AY81" s="15">
        <v>0</v>
      </c>
      <c r="AZ81" s="14">
        <v>0</v>
      </c>
      <c r="BA81" s="10">
        <v>0</v>
      </c>
      <c r="BB81" s="10">
        <v>0</v>
      </c>
      <c r="BC81" s="10">
        <v>0</v>
      </c>
      <c r="BD81" s="1">
        <v>0</v>
      </c>
      <c r="BE81" s="10">
        <v>0</v>
      </c>
      <c r="BF81" s="10">
        <v>0</v>
      </c>
      <c r="BG81" s="2">
        <v>0</v>
      </c>
      <c r="BH81" s="1">
        <v>0</v>
      </c>
      <c r="BI81" s="10">
        <v>0</v>
      </c>
      <c r="BJ81" s="10">
        <v>0</v>
      </c>
      <c r="BK81" s="2">
        <v>0</v>
      </c>
      <c r="BL81" s="10">
        <v>0</v>
      </c>
      <c r="BM81" s="10">
        <v>0</v>
      </c>
      <c r="BN81" s="10">
        <v>0</v>
      </c>
      <c r="BO81" s="15">
        <v>0</v>
      </c>
    </row>
    <row r="82" spans="1:67" s="10" customFormat="1" x14ac:dyDescent="0.25">
      <c r="A82" s="1"/>
      <c r="C82" s="10">
        <v>79</v>
      </c>
      <c r="D82" s="14">
        <v>0</v>
      </c>
      <c r="E82" s="10">
        <v>0</v>
      </c>
      <c r="F82" s="10">
        <v>0</v>
      </c>
      <c r="G82" s="10">
        <v>0</v>
      </c>
      <c r="H82" s="1">
        <v>0</v>
      </c>
      <c r="I82" s="10">
        <v>0</v>
      </c>
      <c r="J82" s="10">
        <v>0</v>
      </c>
      <c r="K82" s="2">
        <v>0</v>
      </c>
      <c r="L82" s="1">
        <v>0</v>
      </c>
      <c r="M82" s="10">
        <v>0</v>
      </c>
      <c r="N82" s="10">
        <v>0</v>
      </c>
      <c r="O82" s="2">
        <v>0</v>
      </c>
      <c r="P82" s="10">
        <v>0</v>
      </c>
      <c r="Q82" s="10">
        <v>0</v>
      </c>
      <c r="R82" s="10">
        <v>0</v>
      </c>
      <c r="S82" s="15">
        <v>0</v>
      </c>
      <c r="T82" s="14">
        <v>0</v>
      </c>
      <c r="U82" s="10">
        <v>0</v>
      </c>
      <c r="V82" s="10">
        <v>0</v>
      </c>
      <c r="W82" s="10">
        <v>0</v>
      </c>
      <c r="X82" s="1">
        <v>0</v>
      </c>
      <c r="Y82" s="10">
        <v>0</v>
      </c>
      <c r="Z82" s="10">
        <v>0</v>
      </c>
      <c r="AA82" s="2">
        <v>0</v>
      </c>
      <c r="AB82" s="1">
        <v>0</v>
      </c>
      <c r="AC82" s="10">
        <v>0</v>
      </c>
      <c r="AD82" s="10">
        <v>0</v>
      </c>
      <c r="AE82" s="2">
        <v>0</v>
      </c>
      <c r="AF82" s="10">
        <v>0</v>
      </c>
      <c r="AG82" s="10">
        <v>0</v>
      </c>
      <c r="AH82" s="10">
        <v>0</v>
      </c>
      <c r="AI82" s="15">
        <v>0</v>
      </c>
      <c r="AJ82" s="14">
        <v>0</v>
      </c>
      <c r="AK82" s="10">
        <v>0</v>
      </c>
      <c r="AL82" s="10">
        <v>0</v>
      </c>
      <c r="AM82" s="10">
        <v>0</v>
      </c>
      <c r="AN82" s="1">
        <v>0</v>
      </c>
      <c r="AO82" s="10">
        <v>0</v>
      </c>
      <c r="AP82" s="10">
        <v>0</v>
      </c>
      <c r="AQ82" s="2">
        <v>0</v>
      </c>
      <c r="AR82" s="1">
        <v>0</v>
      </c>
      <c r="AS82" s="10">
        <v>0</v>
      </c>
      <c r="AT82" s="10">
        <v>0</v>
      </c>
      <c r="AU82" s="2">
        <v>0</v>
      </c>
      <c r="AV82" s="10">
        <v>0</v>
      </c>
      <c r="AW82" s="10">
        <v>0</v>
      </c>
      <c r="AX82" s="10">
        <v>0</v>
      </c>
      <c r="AY82" s="15">
        <v>0</v>
      </c>
      <c r="AZ82" s="14">
        <v>0</v>
      </c>
      <c r="BA82" s="10">
        <v>0</v>
      </c>
      <c r="BB82" s="10">
        <v>0</v>
      </c>
      <c r="BC82" s="10">
        <v>0</v>
      </c>
      <c r="BD82" s="1">
        <v>0</v>
      </c>
      <c r="BE82" s="10">
        <v>0</v>
      </c>
      <c r="BF82" s="10">
        <v>0</v>
      </c>
      <c r="BG82" s="2">
        <v>0</v>
      </c>
      <c r="BH82" s="1">
        <v>0</v>
      </c>
      <c r="BI82" s="10">
        <v>0</v>
      </c>
      <c r="BJ82" s="10">
        <v>0</v>
      </c>
      <c r="BK82" s="2">
        <v>0</v>
      </c>
      <c r="BL82" s="10">
        <v>0</v>
      </c>
      <c r="BM82" s="10">
        <v>0</v>
      </c>
      <c r="BN82" s="10">
        <v>0</v>
      </c>
      <c r="BO82" s="15">
        <v>0</v>
      </c>
    </row>
    <row r="83" spans="1:67" s="6" customFormat="1" x14ac:dyDescent="0.25">
      <c r="A83" s="7"/>
      <c r="C83" s="6">
        <v>80</v>
      </c>
      <c r="D83" s="18">
        <v>0</v>
      </c>
      <c r="E83" s="6">
        <v>0</v>
      </c>
      <c r="F83" s="6">
        <v>0</v>
      </c>
      <c r="G83" s="6">
        <v>0</v>
      </c>
      <c r="H83" s="7">
        <v>0</v>
      </c>
      <c r="I83" s="6">
        <v>0</v>
      </c>
      <c r="J83" s="6">
        <v>0</v>
      </c>
      <c r="K83" s="8">
        <v>0</v>
      </c>
      <c r="L83" s="7">
        <v>0</v>
      </c>
      <c r="M83" s="6">
        <v>0</v>
      </c>
      <c r="N83" s="6">
        <v>0</v>
      </c>
      <c r="O83" s="8">
        <v>0</v>
      </c>
      <c r="P83" s="6">
        <v>0</v>
      </c>
      <c r="Q83" s="6">
        <v>0</v>
      </c>
      <c r="R83" s="6">
        <v>0</v>
      </c>
      <c r="S83" s="19">
        <v>0</v>
      </c>
      <c r="T83" s="18">
        <v>0</v>
      </c>
      <c r="U83" s="6">
        <v>0</v>
      </c>
      <c r="V83" s="6">
        <v>0</v>
      </c>
      <c r="W83" s="6">
        <v>0</v>
      </c>
      <c r="X83" s="7">
        <v>0</v>
      </c>
      <c r="Y83" s="6">
        <v>0</v>
      </c>
      <c r="Z83" s="6">
        <v>0</v>
      </c>
      <c r="AA83" s="8">
        <v>0</v>
      </c>
      <c r="AB83" s="7">
        <v>0</v>
      </c>
      <c r="AC83" s="6">
        <v>0</v>
      </c>
      <c r="AD83" s="6">
        <v>0</v>
      </c>
      <c r="AE83" s="8">
        <v>0</v>
      </c>
      <c r="AF83" s="6">
        <v>0</v>
      </c>
      <c r="AG83" s="6">
        <v>0</v>
      </c>
      <c r="AH83" s="6">
        <v>0</v>
      </c>
      <c r="AI83" s="19">
        <v>0</v>
      </c>
      <c r="AJ83" s="18">
        <v>0</v>
      </c>
      <c r="AK83" s="6">
        <v>0</v>
      </c>
      <c r="AL83" s="6">
        <v>0</v>
      </c>
      <c r="AM83" s="6">
        <v>0</v>
      </c>
      <c r="AN83" s="7">
        <v>0</v>
      </c>
      <c r="AO83" s="6">
        <v>0</v>
      </c>
      <c r="AP83" s="6">
        <v>0</v>
      </c>
      <c r="AQ83" s="8">
        <v>0</v>
      </c>
      <c r="AR83" s="7">
        <v>0</v>
      </c>
      <c r="AS83" s="6">
        <v>0</v>
      </c>
      <c r="AT83" s="6">
        <v>0</v>
      </c>
      <c r="AU83" s="8">
        <v>0</v>
      </c>
      <c r="AV83" s="6">
        <v>0</v>
      </c>
      <c r="AW83" s="6">
        <v>0</v>
      </c>
      <c r="AX83" s="6">
        <v>0</v>
      </c>
      <c r="AY83" s="19">
        <v>0</v>
      </c>
      <c r="AZ83" s="18">
        <v>0</v>
      </c>
      <c r="BA83" s="6">
        <v>0</v>
      </c>
      <c r="BB83" s="6">
        <v>0</v>
      </c>
      <c r="BC83" s="6">
        <v>0</v>
      </c>
      <c r="BD83" s="7">
        <v>0</v>
      </c>
      <c r="BE83" s="6">
        <v>0</v>
      </c>
      <c r="BF83" s="6">
        <v>0</v>
      </c>
      <c r="BG83" s="8">
        <v>0</v>
      </c>
      <c r="BH83" s="7">
        <v>0</v>
      </c>
      <c r="BI83" s="6">
        <v>0</v>
      </c>
      <c r="BJ83" s="6">
        <v>0</v>
      </c>
      <c r="BK83" s="8">
        <v>0</v>
      </c>
      <c r="BL83" s="6">
        <v>0</v>
      </c>
      <c r="BM83" s="6">
        <v>0</v>
      </c>
      <c r="BN83" s="6">
        <v>0</v>
      </c>
      <c r="BO83" s="19">
        <v>0</v>
      </c>
    </row>
    <row r="84" spans="1:67" s="10" customFormat="1" x14ac:dyDescent="0.25">
      <c r="A84" s="14"/>
      <c r="C84" s="10">
        <v>81</v>
      </c>
      <c r="D84" s="14">
        <v>0</v>
      </c>
      <c r="E84" s="10">
        <v>0</v>
      </c>
      <c r="F84" s="10">
        <v>0</v>
      </c>
      <c r="G84" s="10">
        <v>0</v>
      </c>
      <c r="H84" s="1">
        <v>0</v>
      </c>
      <c r="I84" s="10">
        <v>0</v>
      </c>
      <c r="J84" s="10">
        <v>0</v>
      </c>
      <c r="K84" s="2">
        <v>0</v>
      </c>
      <c r="L84" s="1">
        <v>0</v>
      </c>
      <c r="M84" s="10">
        <v>0</v>
      </c>
      <c r="N84" s="10">
        <v>0</v>
      </c>
      <c r="O84" s="2">
        <v>0</v>
      </c>
      <c r="P84" s="10">
        <v>0</v>
      </c>
      <c r="Q84" s="10">
        <v>0</v>
      </c>
      <c r="R84" s="10">
        <v>0</v>
      </c>
      <c r="S84" s="15">
        <v>0</v>
      </c>
      <c r="T84" s="14">
        <v>0</v>
      </c>
      <c r="U84" s="10">
        <v>0</v>
      </c>
      <c r="V84" s="10">
        <v>0</v>
      </c>
      <c r="W84" s="10">
        <v>0</v>
      </c>
      <c r="X84" s="1">
        <v>0</v>
      </c>
      <c r="Y84" s="10">
        <v>0</v>
      </c>
      <c r="Z84" s="10">
        <v>0</v>
      </c>
      <c r="AA84" s="2">
        <v>0</v>
      </c>
      <c r="AB84" s="1">
        <v>0</v>
      </c>
      <c r="AC84" s="10">
        <v>0</v>
      </c>
      <c r="AD84" s="10">
        <v>0</v>
      </c>
      <c r="AE84" s="2">
        <v>0</v>
      </c>
      <c r="AF84" s="10">
        <v>0</v>
      </c>
      <c r="AG84" s="10">
        <v>0</v>
      </c>
      <c r="AH84" s="10">
        <v>0</v>
      </c>
      <c r="AI84" s="15">
        <v>0</v>
      </c>
      <c r="AJ84" s="14">
        <v>0</v>
      </c>
      <c r="AK84" s="10">
        <v>0</v>
      </c>
      <c r="AL84" s="10">
        <v>0</v>
      </c>
      <c r="AM84" s="10">
        <v>0</v>
      </c>
      <c r="AN84" s="1">
        <v>0</v>
      </c>
      <c r="AO84" s="10">
        <v>0</v>
      </c>
      <c r="AP84" s="10">
        <v>0</v>
      </c>
      <c r="AQ84" s="2">
        <v>0</v>
      </c>
      <c r="AR84" s="1">
        <v>0</v>
      </c>
      <c r="AS84" s="10">
        <v>0</v>
      </c>
      <c r="AT84" s="10">
        <v>0</v>
      </c>
      <c r="AU84" s="2">
        <v>0</v>
      </c>
      <c r="AV84" s="10">
        <v>0</v>
      </c>
      <c r="AW84" s="10">
        <v>0</v>
      </c>
      <c r="AX84" s="10">
        <v>0</v>
      </c>
      <c r="AY84" s="15">
        <v>0</v>
      </c>
      <c r="AZ84" s="14">
        <v>0</v>
      </c>
      <c r="BA84" s="10">
        <v>0</v>
      </c>
      <c r="BB84" s="10">
        <v>0</v>
      </c>
      <c r="BC84" s="10">
        <v>0</v>
      </c>
      <c r="BD84" s="1">
        <v>0</v>
      </c>
      <c r="BE84" s="10">
        <v>0</v>
      </c>
      <c r="BF84" s="10">
        <v>0</v>
      </c>
      <c r="BG84" s="2">
        <v>0</v>
      </c>
      <c r="BH84" s="1">
        <v>0</v>
      </c>
      <c r="BI84" s="10">
        <v>0</v>
      </c>
      <c r="BJ84" s="10">
        <v>0</v>
      </c>
      <c r="BK84" s="2">
        <v>0</v>
      </c>
      <c r="BL84" s="10">
        <v>0</v>
      </c>
      <c r="BM84" s="10">
        <v>0</v>
      </c>
      <c r="BN84" s="10">
        <v>0</v>
      </c>
      <c r="BO84" s="15">
        <v>0</v>
      </c>
    </row>
    <row r="85" spans="1:67" s="10" customFormat="1" x14ac:dyDescent="0.25">
      <c r="A85" s="14"/>
      <c r="C85" s="10">
        <v>82</v>
      </c>
      <c r="D85" s="14">
        <v>0</v>
      </c>
      <c r="E85" s="10">
        <v>0</v>
      </c>
      <c r="F85" s="10">
        <v>0</v>
      </c>
      <c r="G85" s="10">
        <v>0</v>
      </c>
      <c r="H85" s="1">
        <v>0</v>
      </c>
      <c r="I85" s="10">
        <v>0</v>
      </c>
      <c r="J85" s="10">
        <v>0</v>
      </c>
      <c r="K85" s="2">
        <v>0</v>
      </c>
      <c r="L85" s="1">
        <v>0</v>
      </c>
      <c r="M85" s="10">
        <v>0</v>
      </c>
      <c r="N85" s="10">
        <v>0</v>
      </c>
      <c r="O85" s="2">
        <v>0</v>
      </c>
      <c r="P85" s="10">
        <v>0</v>
      </c>
      <c r="Q85" s="10">
        <v>0</v>
      </c>
      <c r="R85" s="10">
        <v>0</v>
      </c>
      <c r="S85" s="15">
        <v>0</v>
      </c>
      <c r="T85" s="14">
        <v>0</v>
      </c>
      <c r="U85" s="10">
        <v>0</v>
      </c>
      <c r="V85" s="10">
        <v>0</v>
      </c>
      <c r="W85" s="10">
        <v>0</v>
      </c>
      <c r="X85" s="1">
        <v>0</v>
      </c>
      <c r="Y85" s="10">
        <v>0</v>
      </c>
      <c r="Z85" s="10">
        <v>0</v>
      </c>
      <c r="AA85" s="2">
        <v>0</v>
      </c>
      <c r="AB85" s="1">
        <v>0</v>
      </c>
      <c r="AC85" s="10">
        <v>0</v>
      </c>
      <c r="AD85" s="10">
        <v>0</v>
      </c>
      <c r="AE85" s="2">
        <v>0</v>
      </c>
      <c r="AF85" s="10">
        <v>0</v>
      </c>
      <c r="AG85" s="10">
        <v>0</v>
      </c>
      <c r="AH85" s="10">
        <v>0</v>
      </c>
      <c r="AI85" s="15">
        <v>0</v>
      </c>
      <c r="AJ85" s="14">
        <v>0</v>
      </c>
      <c r="AK85" s="10">
        <v>0</v>
      </c>
      <c r="AL85" s="10">
        <v>0</v>
      </c>
      <c r="AM85" s="10">
        <v>0</v>
      </c>
      <c r="AN85" s="1">
        <v>0</v>
      </c>
      <c r="AO85" s="10">
        <v>0</v>
      </c>
      <c r="AP85" s="10">
        <v>0</v>
      </c>
      <c r="AQ85" s="2">
        <v>0</v>
      </c>
      <c r="AR85" s="1">
        <v>0</v>
      </c>
      <c r="AS85" s="10">
        <v>0</v>
      </c>
      <c r="AT85" s="10">
        <v>0</v>
      </c>
      <c r="AU85" s="2">
        <v>0</v>
      </c>
      <c r="AV85" s="10">
        <v>0</v>
      </c>
      <c r="AW85" s="10">
        <v>0</v>
      </c>
      <c r="AX85" s="10">
        <v>0</v>
      </c>
      <c r="AY85" s="15">
        <v>0</v>
      </c>
      <c r="AZ85" s="14">
        <v>0</v>
      </c>
      <c r="BA85" s="10">
        <v>0</v>
      </c>
      <c r="BB85" s="10">
        <v>0</v>
      </c>
      <c r="BC85" s="10">
        <v>0</v>
      </c>
      <c r="BD85" s="1">
        <v>0</v>
      </c>
      <c r="BE85" s="10">
        <v>0</v>
      </c>
      <c r="BF85" s="10">
        <v>0</v>
      </c>
      <c r="BG85" s="2">
        <v>0</v>
      </c>
      <c r="BH85" s="1">
        <v>0</v>
      </c>
      <c r="BI85" s="10">
        <v>0</v>
      </c>
      <c r="BJ85" s="10">
        <v>0</v>
      </c>
      <c r="BK85" s="2">
        <v>0</v>
      </c>
      <c r="BL85" s="10">
        <v>0</v>
      </c>
      <c r="BM85" s="10">
        <v>0</v>
      </c>
      <c r="BN85" s="10">
        <v>0</v>
      </c>
      <c r="BO85" s="15">
        <v>0</v>
      </c>
    </row>
    <row r="86" spans="1:67" s="10" customFormat="1" x14ac:dyDescent="0.25">
      <c r="A86" s="14"/>
      <c r="C86" s="10">
        <v>83</v>
      </c>
      <c r="D86" s="14">
        <v>0</v>
      </c>
      <c r="E86" s="10">
        <v>0</v>
      </c>
      <c r="F86" s="10">
        <v>0</v>
      </c>
      <c r="G86" s="10">
        <v>0</v>
      </c>
      <c r="H86" s="1">
        <v>0</v>
      </c>
      <c r="I86" s="10">
        <v>0</v>
      </c>
      <c r="J86" s="10">
        <v>0</v>
      </c>
      <c r="K86" s="2">
        <v>0</v>
      </c>
      <c r="L86" s="1">
        <v>0</v>
      </c>
      <c r="M86" s="10">
        <v>0</v>
      </c>
      <c r="N86" s="10">
        <v>0</v>
      </c>
      <c r="O86" s="2">
        <v>0</v>
      </c>
      <c r="P86" s="10">
        <v>0</v>
      </c>
      <c r="Q86" s="10">
        <v>0</v>
      </c>
      <c r="R86" s="10">
        <v>0</v>
      </c>
      <c r="S86" s="15">
        <v>0</v>
      </c>
      <c r="T86" s="14">
        <v>0</v>
      </c>
      <c r="U86" s="10">
        <v>0</v>
      </c>
      <c r="V86" s="10">
        <v>0</v>
      </c>
      <c r="W86" s="10">
        <v>0</v>
      </c>
      <c r="X86" s="1">
        <v>0</v>
      </c>
      <c r="Y86" s="10">
        <v>0</v>
      </c>
      <c r="Z86" s="10">
        <v>0</v>
      </c>
      <c r="AA86" s="2">
        <v>0</v>
      </c>
      <c r="AB86" s="1">
        <v>0</v>
      </c>
      <c r="AC86" s="10">
        <v>0</v>
      </c>
      <c r="AD86" s="10">
        <v>0</v>
      </c>
      <c r="AE86" s="2">
        <v>0</v>
      </c>
      <c r="AF86" s="10">
        <v>0</v>
      </c>
      <c r="AG86" s="10">
        <v>0</v>
      </c>
      <c r="AH86" s="10">
        <v>0</v>
      </c>
      <c r="AI86" s="15">
        <v>0</v>
      </c>
      <c r="AJ86" s="14">
        <v>0</v>
      </c>
      <c r="AK86" s="10">
        <v>0</v>
      </c>
      <c r="AL86" s="10">
        <v>0</v>
      </c>
      <c r="AM86" s="10">
        <v>0</v>
      </c>
      <c r="AN86" s="1">
        <v>0</v>
      </c>
      <c r="AO86" s="10">
        <v>0</v>
      </c>
      <c r="AP86" s="10">
        <v>0</v>
      </c>
      <c r="AQ86" s="2">
        <v>0</v>
      </c>
      <c r="AR86" s="1">
        <v>0</v>
      </c>
      <c r="AS86" s="10">
        <v>0</v>
      </c>
      <c r="AT86" s="10">
        <v>0</v>
      </c>
      <c r="AU86" s="2">
        <v>0</v>
      </c>
      <c r="AV86" s="10">
        <v>0</v>
      </c>
      <c r="AW86" s="10">
        <v>0</v>
      </c>
      <c r="AX86" s="10">
        <v>0</v>
      </c>
      <c r="AY86" s="15">
        <v>0</v>
      </c>
      <c r="AZ86" s="14">
        <v>0</v>
      </c>
      <c r="BA86" s="10">
        <v>0</v>
      </c>
      <c r="BB86" s="10">
        <v>0</v>
      </c>
      <c r="BC86" s="10">
        <v>0</v>
      </c>
      <c r="BD86" s="1">
        <v>0</v>
      </c>
      <c r="BE86" s="10">
        <v>0</v>
      </c>
      <c r="BF86" s="10">
        <v>0</v>
      </c>
      <c r="BG86" s="2">
        <v>0</v>
      </c>
      <c r="BH86" s="1">
        <v>0</v>
      </c>
      <c r="BI86" s="10">
        <v>0</v>
      </c>
      <c r="BJ86" s="10">
        <v>0</v>
      </c>
      <c r="BK86" s="2">
        <v>0</v>
      </c>
      <c r="BL86" s="10">
        <v>0</v>
      </c>
      <c r="BM86" s="10">
        <v>0</v>
      </c>
      <c r="BN86" s="10">
        <v>0</v>
      </c>
      <c r="BO86" s="15">
        <v>0</v>
      </c>
    </row>
    <row r="87" spans="1:67" s="10" customFormat="1" x14ac:dyDescent="0.25">
      <c r="A87" s="14"/>
      <c r="C87" s="10">
        <v>84</v>
      </c>
      <c r="D87" s="14">
        <v>0</v>
      </c>
      <c r="E87" s="10">
        <v>0</v>
      </c>
      <c r="F87" s="10">
        <v>0</v>
      </c>
      <c r="G87" s="10">
        <v>0</v>
      </c>
      <c r="H87" s="1">
        <v>0</v>
      </c>
      <c r="I87" s="10">
        <v>0</v>
      </c>
      <c r="J87" s="10">
        <v>0</v>
      </c>
      <c r="K87" s="2">
        <v>0</v>
      </c>
      <c r="L87" s="1">
        <v>0</v>
      </c>
      <c r="M87" s="10">
        <v>0</v>
      </c>
      <c r="N87" s="10">
        <v>0</v>
      </c>
      <c r="O87" s="2">
        <v>0</v>
      </c>
      <c r="P87" s="10">
        <v>0</v>
      </c>
      <c r="Q87" s="10">
        <v>0</v>
      </c>
      <c r="R87" s="10">
        <v>0</v>
      </c>
      <c r="S87" s="15">
        <v>0</v>
      </c>
      <c r="T87" s="14">
        <v>0</v>
      </c>
      <c r="U87" s="10">
        <v>0</v>
      </c>
      <c r="V87" s="10">
        <v>0</v>
      </c>
      <c r="W87" s="10">
        <v>0</v>
      </c>
      <c r="X87" s="1">
        <v>0</v>
      </c>
      <c r="Y87" s="10">
        <v>0</v>
      </c>
      <c r="Z87" s="10">
        <v>0</v>
      </c>
      <c r="AA87" s="2">
        <v>0</v>
      </c>
      <c r="AB87" s="1">
        <v>0</v>
      </c>
      <c r="AC87" s="10">
        <v>0</v>
      </c>
      <c r="AD87" s="10">
        <v>0</v>
      </c>
      <c r="AE87" s="2">
        <v>0</v>
      </c>
      <c r="AF87" s="10">
        <v>0</v>
      </c>
      <c r="AG87" s="10">
        <v>0</v>
      </c>
      <c r="AH87" s="10">
        <v>0</v>
      </c>
      <c r="AI87" s="15">
        <v>0</v>
      </c>
      <c r="AJ87" s="14">
        <v>0</v>
      </c>
      <c r="AK87" s="10">
        <v>0</v>
      </c>
      <c r="AL87" s="10">
        <v>0</v>
      </c>
      <c r="AM87" s="10">
        <v>0</v>
      </c>
      <c r="AN87" s="1">
        <v>0</v>
      </c>
      <c r="AO87" s="10">
        <v>0</v>
      </c>
      <c r="AP87" s="10">
        <v>0</v>
      </c>
      <c r="AQ87" s="2">
        <v>0</v>
      </c>
      <c r="AR87" s="1">
        <v>0</v>
      </c>
      <c r="AS87" s="10">
        <v>0</v>
      </c>
      <c r="AT87" s="10">
        <v>0</v>
      </c>
      <c r="AU87" s="2">
        <v>0</v>
      </c>
      <c r="AV87" s="10">
        <v>0</v>
      </c>
      <c r="AW87" s="10">
        <v>0</v>
      </c>
      <c r="AX87" s="10">
        <v>0</v>
      </c>
      <c r="AY87" s="15">
        <v>0</v>
      </c>
      <c r="AZ87" s="14">
        <v>0</v>
      </c>
      <c r="BA87" s="10">
        <v>0</v>
      </c>
      <c r="BB87" s="10">
        <v>0</v>
      </c>
      <c r="BC87" s="10">
        <v>0</v>
      </c>
      <c r="BD87" s="1">
        <v>0</v>
      </c>
      <c r="BE87" s="10">
        <v>0</v>
      </c>
      <c r="BF87" s="10">
        <v>0</v>
      </c>
      <c r="BG87" s="2">
        <v>0</v>
      </c>
      <c r="BH87" s="1">
        <v>0</v>
      </c>
      <c r="BI87" s="10">
        <v>0</v>
      </c>
      <c r="BJ87" s="10">
        <v>0</v>
      </c>
      <c r="BK87" s="2">
        <v>0</v>
      </c>
      <c r="BL87" s="10">
        <v>0</v>
      </c>
      <c r="BM87" s="10">
        <v>0</v>
      </c>
      <c r="BN87" s="10">
        <v>0</v>
      </c>
      <c r="BO87" s="15">
        <v>0</v>
      </c>
    </row>
    <row r="88" spans="1:67" s="3" customFormat="1" x14ac:dyDescent="0.25">
      <c r="A88" s="4"/>
      <c r="C88" s="3">
        <v>85</v>
      </c>
      <c r="D88" s="16">
        <v>0</v>
      </c>
      <c r="E88" s="3">
        <v>0</v>
      </c>
      <c r="F88" s="3">
        <v>0</v>
      </c>
      <c r="G88" s="3">
        <v>0</v>
      </c>
      <c r="H88" s="4">
        <v>0</v>
      </c>
      <c r="I88" s="3">
        <v>0</v>
      </c>
      <c r="J88" s="3">
        <v>0</v>
      </c>
      <c r="K88" s="5">
        <v>0</v>
      </c>
      <c r="L88" s="4">
        <v>0</v>
      </c>
      <c r="M88" s="3">
        <v>0</v>
      </c>
      <c r="N88" s="3">
        <v>0</v>
      </c>
      <c r="O88" s="5">
        <v>0</v>
      </c>
      <c r="P88" s="3">
        <v>0</v>
      </c>
      <c r="Q88" s="3">
        <v>0</v>
      </c>
      <c r="R88" s="3">
        <v>0</v>
      </c>
      <c r="S88" s="17">
        <v>0</v>
      </c>
      <c r="T88" s="16">
        <v>0</v>
      </c>
      <c r="U88" s="3">
        <v>0</v>
      </c>
      <c r="V88" s="3">
        <v>0</v>
      </c>
      <c r="W88" s="3">
        <v>0</v>
      </c>
      <c r="X88" s="4">
        <v>0</v>
      </c>
      <c r="Y88" s="3">
        <v>0</v>
      </c>
      <c r="Z88" s="3">
        <v>0</v>
      </c>
      <c r="AA88" s="5">
        <v>0</v>
      </c>
      <c r="AB88" s="4">
        <v>0</v>
      </c>
      <c r="AC88" s="3">
        <v>0</v>
      </c>
      <c r="AD88" s="3">
        <v>0</v>
      </c>
      <c r="AE88" s="5">
        <v>0</v>
      </c>
      <c r="AF88" s="3">
        <v>0</v>
      </c>
      <c r="AG88" s="3">
        <v>0</v>
      </c>
      <c r="AH88" s="3">
        <v>0</v>
      </c>
      <c r="AI88" s="17">
        <v>0</v>
      </c>
      <c r="AJ88" s="16">
        <v>0</v>
      </c>
      <c r="AK88" s="3">
        <v>0</v>
      </c>
      <c r="AL88" s="3">
        <v>0</v>
      </c>
      <c r="AM88" s="3">
        <v>0</v>
      </c>
      <c r="AN88" s="4">
        <v>0</v>
      </c>
      <c r="AO88" s="3">
        <v>0</v>
      </c>
      <c r="AP88" s="3">
        <v>0</v>
      </c>
      <c r="AQ88" s="5">
        <v>0</v>
      </c>
      <c r="AR88" s="4">
        <v>0</v>
      </c>
      <c r="AS88" s="3">
        <v>0</v>
      </c>
      <c r="AT88" s="3">
        <v>0</v>
      </c>
      <c r="AU88" s="5">
        <v>0</v>
      </c>
      <c r="AV88" s="3">
        <v>0</v>
      </c>
      <c r="AW88" s="3">
        <v>0</v>
      </c>
      <c r="AX88" s="3">
        <v>0</v>
      </c>
      <c r="AY88" s="17">
        <v>0</v>
      </c>
      <c r="AZ88" s="16">
        <v>0</v>
      </c>
      <c r="BA88" s="3">
        <v>0</v>
      </c>
      <c r="BB88" s="3">
        <v>0</v>
      </c>
      <c r="BC88" s="3">
        <v>0</v>
      </c>
      <c r="BD88" s="4">
        <v>0</v>
      </c>
      <c r="BE88" s="3">
        <v>0</v>
      </c>
      <c r="BF88" s="3">
        <v>0</v>
      </c>
      <c r="BG88" s="5">
        <v>0</v>
      </c>
      <c r="BH88" s="4">
        <v>0</v>
      </c>
      <c r="BI88" s="3">
        <v>0</v>
      </c>
      <c r="BJ88" s="3">
        <v>0</v>
      </c>
      <c r="BK88" s="5">
        <v>0</v>
      </c>
      <c r="BL88" s="3">
        <v>0</v>
      </c>
      <c r="BM88" s="3">
        <v>0</v>
      </c>
      <c r="BN88" s="3">
        <v>0</v>
      </c>
      <c r="BO88" s="17">
        <v>0</v>
      </c>
    </row>
    <row r="89" spans="1:67" s="10" customFormat="1" x14ac:dyDescent="0.25">
      <c r="A89" s="1"/>
      <c r="C89" s="10">
        <v>86</v>
      </c>
      <c r="D89" s="14">
        <v>0</v>
      </c>
      <c r="E89" s="10">
        <v>0</v>
      </c>
      <c r="F89" s="10">
        <v>0</v>
      </c>
      <c r="G89" s="10">
        <v>0</v>
      </c>
      <c r="H89" s="1">
        <v>0</v>
      </c>
      <c r="I89" s="10">
        <v>0</v>
      </c>
      <c r="J89" s="10">
        <v>0</v>
      </c>
      <c r="K89" s="2">
        <v>0</v>
      </c>
      <c r="L89" s="1">
        <v>0</v>
      </c>
      <c r="M89" s="10">
        <v>0</v>
      </c>
      <c r="N89" s="10">
        <v>0</v>
      </c>
      <c r="O89" s="2">
        <v>0</v>
      </c>
      <c r="P89" s="10">
        <v>0</v>
      </c>
      <c r="Q89" s="10">
        <v>0</v>
      </c>
      <c r="R89" s="10">
        <v>0</v>
      </c>
      <c r="S89" s="15">
        <v>0</v>
      </c>
      <c r="T89" s="14">
        <v>0</v>
      </c>
      <c r="U89" s="10">
        <v>0</v>
      </c>
      <c r="V89" s="10">
        <v>0</v>
      </c>
      <c r="W89" s="10">
        <v>0</v>
      </c>
      <c r="X89" s="1">
        <v>0</v>
      </c>
      <c r="Y89" s="10">
        <v>0</v>
      </c>
      <c r="Z89" s="10">
        <v>0</v>
      </c>
      <c r="AA89" s="2">
        <v>0</v>
      </c>
      <c r="AB89" s="1">
        <v>0</v>
      </c>
      <c r="AC89" s="10">
        <v>0</v>
      </c>
      <c r="AD89" s="10">
        <v>0</v>
      </c>
      <c r="AE89" s="2">
        <v>0</v>
      </c>
      <c r="AF89" s="10">
        <v>0</v>
      </c>
      <c r="AG89" s="10">
        <v>0</v>
      </c>
      <c r="AH89" s="10">
        <v>0</v>
      </c>
      <c r="AI89" s="15">
        <v>0</v>
      </c>
      <c r="AJ89" s="14">
        <v>0</v>
      </c>
      <c r="AK89" s="10">
        <v>0</v>
      </c>
      <c r="AL89" s="10">
        <v>0</v>
      </c>
      <c r="AM89" s="10">
        <v>0</v>
      </c>
      <c r="AN89" s="1">
        <v>0</v>
      </c>
      <c r="AO89" s="10">
        <v>0</v>
      </c>
      <c r="AP89" s="10">
        <v>0</v>
      </c>
      <c r="AQ89" s="2">
        <v>0</v>
      </c>
      <c r="AR89" s="1">
        <v>0</v>
      </c>
      <c r="AS89" s="10">
        <v>0</v>
      </c>
      <c r="AT89" s="10">
        <v>0</v>
      </c>
      <c r="AU89" s="2">
        <v>0</v>
      </c>
      <c r="AV89" s="10">
        <v>0</v>
      </c>
      <c r="AW89" s="10">
        <v>0</v>
      </c>
      <c r="AX89" s="10">
        <v>0</v>
      </c>
      <c r="AY89" s="15">
        <v>0</v>
      </c>
      <c r="AZ89" s="14">
        <v>0</v>
      </c>
      <c r="BA89" s="10">
        <v>0</v>
      </c>
      <c r="BB89" s="10">
        <v>0</v>
      </c>
      <c r="BC89" s="10">
        <v>0</v>
      </c>
      <c r="BD89" s="1">
        <v>0</v>
      </c>
      <c r="BE89" s="10">
        <v>0</v>
      </c>
      <c r="BF89" s="10">
        <v>0</v>
      </c>
      <c r="BG89" s="2">
        <v>0</v>
      </c>
      <c r="BH89" s="1">
        <v>0</v>
      </c>
      <c r="BI89" s="10">
        <v>0</v>
      </c>
      <c r="BJ89" s="10">
        <v>0</v>
      </c>
      <c r="BK89" s="2">
        <v>0</v>
      </c>
      <c r="BL89" s="10">
        <v>0</v>
      </c>
      <c r="BM89" s="10">
        <v>0</v>
      </c>
      <c r="BN89" s="10">
        <v>0</v>
      </c>
      <c r="BO89" s="15">
        <v>0</v>
      </c>
    </row>
    <row r="90" spans="1:67" s="10" customFormat="1" x14ac:dyDescent="0.25">
      <c r="A90" s="1"/>
      <c r="C90" s="10">
        <v>87</v>
      </c>
      <c r="D90" s="14">
        <v>0</v>
      </c>
      <c r="E90" s="10">
        <v>0</v>
      </c>
      <c r="F90" s="10">
        <v>0</v>
      </c>
      <c r="G90" s="10">
        <v>0</v>
      </c>
      <c r="H90" s="1">
        <v>0</v>
      </c>
      <c r="I90" s="10">
        <v>0</v>
      </c>
      <c r="J90" s="10">
        <v>0</v>
      </c>
      <c r="K90" s="2">
        <v>0</v>
      </c>
      <c r="L90" s="1">
        <v>0</v>
      </c>
      <c r="M90" s="10">
        <v>0</v>
      </c>
      <c r="N90" s="10">
        <v>0</v>
      </c>
      <c r="O90" s="2">
        <v>0</v>
      </c>
      <c r="P90" s="10">
        <v>0</v>
      </c>
      <c r="Q90" s="10">
        <v>0</v>
      </c>
      <c r="R90" s="10">
        <v>0</v>
      </c>
      <c r="S90" s="15">
        <v>0</v>
      </c>
      <c r="T90" s="14">
        <v>0</v>
      </c>
      <c r="U90" s="10">
        <v>0</v>
      </c>
      <c r="V90" s="10">
        <v>0</v>
      </c>
      <c r="W90" s="10">
        <v>0</v>
      </c>
      <c r="X90" s="1">
        <v>0</v>
      </c>
      <c r="Y90" s="10">
        <v>0</v>
      </c>
      <c r="Z90" s="10">
        <v>0</v>
      </c>
      <c r="AA90" s="2">
        <v>0</v>
      </c>
      <c r="AB90" s="1">
        <v>0</v>
      </c>
      <c r="AC90" s="10">
        <v>0</v>
      </c>
      <c r="AD90" s="10">
        <v>0</v>
      </c>
      <c r="AE90" s="2">
        <v>0</v>
      </c>
      <c r="AF90" s="10">
        <v>0</v>
      </c>
      <c r="AG90" s="10">
        <v>0</v>
      </c>
      <c r="AH90" s="10">
        <v>0</v>
      </c>
      <c r="AI90" s="15">
        <v>0</v>
      </c>
      <c r="AJ90" s="14">
        <v>0</v>
      </c>
      <c r="AK90" s="10">
        <v>0</v>
      </c>
      <c r="AL90" s="10">
        <v>0</v>
      </c>
      <c r="AM90" s="10">
        <v>0</v>
      </c>
      <c r="AN90" s="1">
        <v>0</v>
      </c>
      <c r="AO90" s="10">
        <v>0</v>
      </c>
      <c r="AP90" s="10">
        <v>0</v>
      </c>
      <c r="AQ90" s="2">
        <v>0</v>
      </c>
      <c r="AR90" s="1">
        <v>0</v>
      </c>
      <c r="AS90" s="10">
        <v>0</v>
      </c>
      <c r="AT90" s="10">
        <v>0</v>
      </c>
      <c r="AU90" s="2">
        <v>0</v>
      </c>
      <c r="AV90" s="10">
        <v>0</v>
      </c>
      <c r="AW90" s="10">
        <v>0</v>
      </c>
      <c r="AX90" s="10">
        <v>0</v>
      </c>
      <c r="AY90" s="15">
        <v>0</v>
      </c>
      <c r="AZ90" s="14">
        <v>0</v>
      </c>
      <c r="BA90" s="10">
        <v>0</v>
      </c>
      <c r="BB90" s="10">
        <v>0</v>
      </c>
      <c r="BC90" s="10">
        <v>0</v>
      </c>
      <c r="BD90" s="1">
        <v>0</v>
      </c>
      <c r="BE90" s="10">
        <v>0</v>
      </c>
      <c r="BF90" s="10">
        <v>0</v>
      </c>
      <c r="BG90" s="2">
        <v>0</v>
      </c>
      <c r="BH90" s="1">
        <v>0</v>
      </c>
      <c r="BI90" s="10">
        <v>0</v>
      </c>
      <c r="BJ90" s="10">
        <v>0</v>
      </c>
      <c r="BK90" s="2">
        <v>0</v>
      </c>
      <c r="BL90" s="10">
        <v>0</v>
      </c>
      <c r="BM90" s="10">
        <v>0</v>
      </c>
      <c r="BN90" s="10">
        <v>0</v>
      </c>
      <c r="BO90" s="15">
        <v>0</v>
      </c>
    </row>
    <row r="91" spans="1:67" s="6" customFormat="1" x14ac:dyDescent="0.25">
      <c r="A91" s="7"/>
      <c r="C91" s="6">
        <v>88</v>
      </c>
      <c r="D91" s="18">
        <v>0</v>
      </c>
      <c r="E91" s="6">
        <v>0</v>
      </c>
      <c r="F91" s="6">
        <v>0</v>
      </c>
      <c r="G91" s="6">
        <v>0</v>
      </c>
      <c r="H91" s="7">
        <v>0</v>
      </c>
      <c r="I91" s="6">
        <v>0</v>
      </c>
      <c r="J91" s="6">
        <v>0</v>
      </c>
      <c r="K91" s="8">
        <v>0</v>
      </c>
      <c r="L91" s="7">
        <v>0</v>
      </c>
      <c r="M91" s="6">
        <v>0</v>
      </c>
      <c r="N91" s="6">
        <v>0</v>
      </c>
      <c r="O91" s="8">
        <v>0</v>
      </c>
      <c r="P91" s="6">
        <v>0</v>
      </c>
      <c r="Q91" s="6">
        <v>0</v>
      </c>
      <c r="R91" s="6">
        <v>0</v>
      </c>
      <c r="S91" s="19">
        <v>0</v>
      </c>
      <c r="T91" s="18">
        <v>0</v>
      </c>
      <c r="U91" s="6">
        <v>0</v>
      </c>
      <c r="V91" s="6">
        <v>0</v>
      </c>
      <c r="W91" s="6">
        <v>0</v>
      </c>
      <c r="X91" s="7">
        <v>0</v>
      </c>
      <c r="Y91" s="6">
        <v>0</v>
      </c>
      <c r="Z91" s="6">
        <v>0</v>
      </c>
      <c r="AA91" s="8">
        <v>0</v>
      </c>
      <c r="AB91" s="7">
        <v>0</v>
      </c>
      <c r="AC91" s="6">
        <v>0</v>
      </c>
      <c r="AD91" s="6">
        <v>0</v>
      </c>
      <c r="AE91" s="8">
        <v>0</v>
      </c>
      <c r="AF91" s="6">
        <v>0</v>
      </c>
      <c r="AG91" s="6">
        <v>0</v>
      </c>
      <c r="AH91" s="6">
        <v>0</v>
      </c>
      <c r="AI91" s="19">
        <v>0</v>
      </c>
      <c r="AJ91" s="18">
        <v>0</v>
      </c>
      <c r="AK91" s="6">
        <v>0</v>
      </c>
      <c r="AL91" s="6">
        <v>0</v>
      </c>
      <c r="AM91" s="6">
        <v>0</v>
      </c>
      <c r="AN91" s="7">
        <v>0</v>
      </c>
      <c r="AO91" s="6">
        <v>0</v>
      </c>
      <c r="AP91" s="6">
        <v>0</v>
      </c>
      <c r="AQ91" s="8">
        <v>0</v>
      </c>
      <c r="AR91" s="7">
        <v>0</v>
      </c>
      <c r="AS91" s="6">
        <v>0</v>
      </c>
      <c r="AT91" s="6">
        <v>0</v>
      </c>
      <c r="AU91" s="8">
        <v>0</v>
      </c>
      <c r="AV91" s="6">
        <v>0</v>
      </c>
      <c r="AW91" s="6">
        <v>0</v>
      </c>
      <c r="AX91" s="6">
        <v>0</v>
      </c>
      <c r="AY91" s="19">
        <v>0</v>
      </c>
      <c r="AZ91" s="18">
        <v>0</v>
      </c>
      <c r="BA91" s="6">
        <v>0</v>
      </c>
      <c r="BB91" s="6">
        <v>0</v>
      </c>
      <c r="BC91" s="6">
        <v>0</v>
      </c>
      <c r="BD91" s="7">
        <v>0</v>
      </c>
      <c r="BE91" s="6">
        <v>0</v>
      </c>
      <c r="BF91" s="6">
        <v>0</v>
      </c>
      <c r="BG91" s="8">
        <v>0</v>
      </c>
      <c r="BH91" s="7">
        <v>0</v>
      </c>
      <c r="BI91" s="6">
        <v>0</v>
      </c>
      <c r="BJ91" s="6">
        <v>0</v>
      </c>
      <c r="BK91" s="8">
        <v>0</v>
      </c>
      <c r="BL91" s="6">
        <v>0</v>
      </c>
      <c r="BM91" s="6">
        <v>0</v>
      </c>
      <c r="BN91" s="6">
        <v>0</v>
      </c>
      <c r="BO91" s="19">
        <v>0</v>
      </c>
    </row>
    <row r="92" spans="1:67" s="3" customFormat="1" x14ac:dyDescent="0.25">
      <c r="A92" s="4"/>
      <c r="C92" s="3">
        <v>89</v>
      </c>
      <c r="D92" s="16">
        <v>0</v>
      </c>
      <c r="E92" s="3">
        <v>0</v>
      </c>
      <c r="F92" s="3">
        <v>0</v>
      </c>
      <c r="G92" s="3">
        <v>0</v>
      </c>
      <c r="H92" s="4">
        <v>0</v>
      </c>
      <c r="I92" s="3">
        <v>0</v>
      </c>
      <c r="J92" s="3">
        <v>0</v>
      </c>
      <c r="K92" s="5">
        <v>0</v>
      </c>
      <c r="L92" s="4">
        <v>0</v>
      </c>
      <c r="M92" s="3">
        <v>0</v>
      </c>
      <c r="N92" s="3">
        <v>0</v>
      </c>
      <c r="O92" s="5">
        <v>0</v>
      </c>
      <c r="P92" s="3">
        <v>0</v>
      </c>
      <c r="Q92" s="3">
        <v>0</v>
      </c>
      <c r="R92" s="3">
        <v>0</v>
      </c>
      <c r="S92" s="17">
        <v>0</v>
      </c>
      <c r="T92" s="16">
        <v>0</v>
      </c>
      <c r="U92" s="3">
        <v>0</v>
      </c>
      <c r="V92" s="3">
        <v>0</v>
      </c>
      <c r="W92" s="3">
        <v>0</v>
      </c>
      <c r="X92" s="4">
        <v>0</v>
      </c>
      <c r="Y92" s="3">
        <v>0</v>
      </c>
      <c r="Z92" s="3">
        <v>0</v>
      </c>
      <c r="AA92" s="5">
        <v>0</v>
      </c>
      <c r="AB92" s="4">
        <v>0</v>
      </c>
      <c r="AC92" s="3">
        <v>0</v>
      </c>
      <c r="AD92" s="3">
        <v>0</v>
      </c>
      <c r="AE92" s="5">
        <v>0</v>
      </c>
      <c r="AF92" s="3">
        <v>0</v>
      </c>
      <c r="AG92" s="3">
        <v>0</v>
      </c>
      <c r="AH92" s="3">
        <v>0</v>
      </c>
      <c r="AI92" s="17">
        <v>0</v>
      </c>
      <c r="AJ92" s="16">
        <v>0</v>
      </c>
      <c r="AK92" s="3">
        <v>0</v>
      </c>
      <c r="AL92" s="3">
        <v>0</v>
      </c>
      <c r="AM92" s="3">
        <v>0</v>
      </c>
      <c r="AN92" s="4">
        <v>0</v>
      </c>
      <c r="AO92" s="3">
        <v>0</v>
      </c>
      <c r="AP92" s="3">
        <v>0</v>
      </c>
      <c r="AQ92" s="5">
        <v>0</v>
      </c>
      <c r="AR92" s="4">
        <v>0</v>
      </c>
      <c r="AS92" s="3">
        <v>0</v>
      </c>
      <c r="AT92" s="3">
        <v>0</v>
      </c>
      <c r="AU92" s="5">
        <v>0</v>
      </c>
      <c r="AV92" s="3">
        <v>0</v>
      </c>
      <c r="AW92" s="3">
        <v>0</v>
      </c>
      <c r="AX92" s="3">
        <v>0</v>
      </c>
      <c r="AY92" s="17">
        <v>0</v>
      </c>
      <c r="AZ92" s="16">
        <v>0</v>
      </c>
      <c r="BA92" s="3">
        <v>0</v>
      </c>
      <c r="BB92" s="3">
        <v>0</v>
      </c>
      <c r="BC92" s="3">
        <v>0</v>
      </c>
      <c r="BD92" s="4">
        <v>0</v>
      </c>
      <c r="BE92" s="3">
        <v>0</v>
      </c>
      <c r="BF92" s="3">
        <v>0</v>
      </c>
      <c r="BG92" s="5">
        <v>0</v>
      </c>
      <c r="BH92" s="4">
        <v>0</v>
      </c>
      <c r="BI92" s="3">
        <v>0</v>
      </c>
      <c r="BJ92" s="3">
        <v>0</v>
      </c>
      <c r="BK92" s="5">
        <v>0</v>
      </c>
      <c r="BL92" s="3">
        <v>0</v>
      </c>
      <c r="BM92" s="3">
        <v>0</v>
      </c>
      <c r="BN92" s="3">
        <v>0</v>
      </c>
      <c r="BO92" s="17">
        <v>0</v>
      </c>
    </row>
    <row r="93" spans="1:67" s="10" customFormat="1" x14ac:dyDescent="0.25">
      <c r="A93" s="1"/>
      <c r="C93" s="10">
        <v>90</v>
      </c>
      <c r="D93" s="14">
        <v>0</v>
      </c>
      <c r="E93" s="10">
        <v>0</v>
      </c>
      <c r="F93" s="10">
        <v>0</v>
      </c>
      <c r="G93" s="10">
        <v>0</v>
      </c>
      <c r="H93" s="1">
        <v>0</v>
      </c>
      <c r="I93" s="10">
        <v>0</v>
      </c>
      <c r="J93" s="10">
        <v>0</v>
      </c>
      <c r="K93" s="2">
        <v>0</v>
      </c>
      <c r="L93" s="1">
        <v>0</v>
      </c>
      <c r="M93" s="10">
        <v>0</v>
      </c>
      <c r="N93" s="10">
        <v>0</v>
      </c>
      <c r="O93" s="2">
        <v>0</v>
      </c>
      <c r="P93" s="10">
        <v>0</v>
      </c>
      <c r="Q93" s="10">
        <v>0</v>
      </c>
      <c r="R93" s="10">
        <v>0</v>
      </c>
      <c r="S93" s="15">
        <v>0</v>
      </c>
      <c r="T93" s="14">
        <v>0</v>
      </c>
      <c r="U93" s="10">
        <v>0</v>
      </c>
      <c r="V93" s="10">
        <v>0</v>
      </c>
      <c r="W93" s="10">
        <v>0</v>
      </c>
      <c r="X93" s="1">
        <v>0</v>
      </c>
      <c r="Y93" s="10">
        <v>0</v>
      </c>
      <c r="Z93" s="10">
        <v>0</v>
      </c>
      <c r="AA93" s="2">
        <v>0</v>
      </c>
      <c r="AB93" s="1">
        <v>0</v>
      </c>
      <c r="AC93" s="10">
        <v>0</v>
      </c>
      <c r="AD93" s="10">
        <v>0</v>
      </c>
      <c r="AE93" s="2">
        <v>0</v>
      </c>
      <c r="AF93" s="10">
        <v>0</v>
      </c>
      <c r="AG93" s="10">
        <v>0</v>
      </c>
      <c r="AH93" s="10">
        <v>0</v>
      </c>
      <c r="AI93" s="15">
        <v>0</v>
      </c>
      <c r="AJ93" s="14">
        <v>0</v>
      </c>
      <c r="AK93" s="10">
        <v>0</v>
      </c>
      <c r="AL93" s="10">
        <v>0</v>
      </c>
      <c r="AM93" s="10">
        <v>0</v>
      </c>
      <c r="AN93" s="1">
        <v>0</v>
      </c>
      <c r="AO93" s="10">
        <v>0</v>
      </c>
      <c r="AP93" s="10">
        <v>0</v>
      </c>
      <c r="AQ93" s="2">
        <v>0</v>
      </c>
      <c r="AR93" s="1">
        <v>0</v>
      </c>
      <c r="AS93" s="10">
        <v>0</v>
      </c>
      <c r="AT93" s="10">
        <v>0</v>
      </c>
      <c r="AU93" s="2">
        <v>0</v>
      </c>
      <c r="AV93" s="10">
        <v>0</v>
      </c>
      <c r="AW93" s="10">
        <v>0</v>
      </c>
      <c r="AX93" s="10">
        <v>0</v>
      </c>
      <c r="AY93" s="15">
        <v>0</v>
      </c>
      <c r="AZ93" s="14">
        <v>0</v>
      </c>
      <c r="BA93" s="10">
        <v>0</v>
      </c>
      <c r="BB93" s="10">
        <v>0</v>
      </c>
      <c r="BC93" s="10">
        <v>0</v>
      </c>
      <c r="BD93" s="1">
        <v>0</v>
      </c>
      <c r="BE93" s="10">
        <v>0</v>
      </c>
      <c r="BF93" s="10">
        <v>0</v>
      </c>
      <c r="BG93" s="2">
        <v>0</v>
      </c>
      <c r="BH93" s="1">
        <v>0</v>
      </c>
      <c r="BI93" s="10">
        <v>0</v>
      </c>
      <c r="BJ93" s="10">
        <v>0</v>
      </c>
      <c r="BK93" s="2">
        <v>0</v>
      </c>
      <c r="BL93" s="10">
        <v>0</v>
      </c>
      <c r="BM93" s="10">
        <v>0</v>
      </c>
      <c r="BN93" s="10">
        <v>0</v>
      </c>
      <c r="BO93" s="15">
        <v>0</v>
      </c>
    </row>
    <row r="94" spans="1:67" s="10" customFormat="1" x14ac:dyDescent="0.25">
      <c r="A94" s="1"/>
      <c r="C94" s="10">
        <v>91</v>
      </c>
      <c r="D94" s="14">
        <v>0</v>
      </c>
      <c r="E94" s="10">
        <v>0</v>
      </c>
      <c r="F94" s="10">
        <v>0</v>
      </c>
      <c r="G94" s="10">
        <v>0</v>
      </c>
      <c r="H94" s="1">
        <v>0</v>
      </c>
      <c r="I94" s="10">
        <v>0</v>
      </c>
      <c r="J94" s="10">
        <v>0</v>
      </c>
      <c r="K94" s="2">
        <v>0</v>
      </c>
      <c r="L94" s="1">
        <v>0</v>
      </c>
      <c r="M94" s="10">
        <v>0</v>
      </c>
      <c r="N94" s="10">
        <v>0</v>
      </c>
      <c r="O94" s="2">
        <v>0</v>
      </c>
      <c r="P94" s="10">
        <v>0</v>
      </c>
      <c r="Q94" s="10">
        <v>0</v>
      </c>
      <c r="R94" s="10">
        <v>0</v>
      </c>
      <c r="S94" s="15">
        <v>0</v>
      </c>
      <c r="T94" s="14">
        <v>0</v>
      </c>
      <c r="U94" s="10">
        <v>0</v>
      </c>
      <c r="V94" s="10">
        <v>0</v>
      </c>
      <c r="W94" s="10">
        <v>0</v>
      </c>
      <c r="X94" s="1">
        <v>0</v>
      </c>
      <c r="Y94" s="10">
        <v>0</v>
      </c>
      <c r="Z94" s="10">
        <v>0</v>
      </c>
      <c r="AA94" s="2">
        <v>0</v>
      </c>
      <c r="AB94" s="1">
        <v>0</v>
      </c>
      <c r="AC94" s="10">
        <v>0</v>
      </c>
      <c r="AD94" s="10">
        <v>0</v>
      </c>
      <c r="AE94" s="2">
        <v>0</v>
      </c>
      <c r="AF94" s="10">
        <v>0</v>
      </c>
      <c r="AG94" s="10">
        <v>0</v>
      </c>
      <c r="AH94" s="10">
        <v>0</v>
      </c>
      <c r="AI94" s="15">
        <v>0</v>
      </c>
      <c r="AJ94" s="14">
        <v>0</v>
      </c>
      <c r="AK94" s="10">
        <v>0</v>
      </c>
      <c r="AL94" s="10">
        <v>0</v>
      </c>
      <c r="AM94" s="10">
        <v>0</v>
      </c>
      <c r="AN94" s="1">
        <v>0</v>
      </c>
      <c r="AO94" s="10">
        <v>0</v>
      </c>
      <c r="AP94" s="10">
        <v>0</v>
      </c>
      <c r="AQ94" s="2">
        <v>0</v>
      </c>
      <c r="AR94" s="1">
        <v>0</v>
      </c>
      <c r="AS94" s="10">
        <v>0</v>
      </c>
      <c r="AT94" s="10">
        <v>0</v>
      </c>
      <c r="AU94" s="2">
        <v>0</v>
      </c>
      <c r="AV94" s="10">
        <v>0</v>
      </c>
      <c r="AW94" s="10">
        <v>0</v>
      </c>
      <c r="AX94" s="10">
        <v>0</v>
      </c>
      <c r="AY94" s="15">
        <v>0</v>
      </c>
      <c r="AZ94" s="14">
        <v>0</v>
      </c>
      <c r="BA94" s="10">
        <v>0</v>
      </c>
      <c r="BB94" s="10">
        <v>0</v>
      </c>
      <c r="BC94" s="10">
        <v>0</v>
      </c>
      <c r="BD94" s="1">
        <v>0</v>
      </c>
      <c r="BE94" s="10">
        <v>0</v>
      </c>
      <c r="BF94" s="10">
        <v>0</v>
      </c>
      <c r="BG94" s="2">
        <v>0</v>
      </c>
      <c r="BH94" s="1">
        <v>0</v>
      </c>
      <c r="BI94" s="10">
        <v>0</v>
      </c>
      <c r="BJ94" s="10">
        <v>0</v>
      </c>
      <c r="BK94" s="2">
        <v>0</v>
      </c>
      <c r="BL94" s="10">
        <v>0</v>
      </c>
      <c r="BM94" s="10">
        <v>0</v>
      </c>
      <c r="BN94" s="10">
        <v>0</v>
      </c>
      <c r="BO94" s="15">
        <v>0</v>
      </c>
    </row>
    <row r="95" spans="1:67" s="6" customFormat="1" x14ac:dyDescent="0.25">
      <c r="A95" s="7"/>
      <c r="C95" s="6">
        <v>92</v>
      </c>
      <c r="D95" s="18">
        <v>0</v>
      </c>
      <c r="E95" s="6">
        <v>0</v>
      </c>
      <c r="F95" s="6">
        <v>0</v>
      </c>
      <c r="G95" s="6">
        <v>0</v>
      </c>
      <c r="H95" s="7">
        <v>0</v>
      </c>
      <c r="I95" s="6">
        <v>0</v>
      </c>
      <c r="J95" s="6">
        <v>0</v>
      </c>
      <c r="K95" s="8">
        <v>0</v>
      </c>
      <c r="L95" s="7">
        <v>0</v>
      </c>
      <c r="M95" s="6">
        <v>0</v>
      </c>
      <c r="N95" s="6">
        <v>0</v>
      </c>
      <c r="O95" s="8">
        <v>0</v>
      </c>
      <c r="P95" s="6">
        <v>0</v>
      </c>
      <c r="Q95" s="6">
        <v>0</v>
      </c>
      <c r="R95" s="6">
        <v>0</v>
      </c>
      <c r="S95" s="19">
        <v>0</v>
      </c>
      <c r="T95" s="18">
        <v>0</v>
      </c>
      <c r="U95" s="6">
        <v>0</v>
      </c>
      <c r="V95" s="6">
        <v>0</v>
      </c>
      <c r="W95" s="6">
        <v>0</v>
      </c>
      <c r="X95" s="7">
        <v>0</v>
      </c>
      <c r="Y95" s="6">
        <v>0</v>
      </c>
      <c r="Z95" s="6">
        <v>0</v>
      </c>
      <c r="AA95" s="8">
        <v>0</v>
      </c>
      <c r="AB95" s="7">
        <v>0</v>
      </c>
      <c r="AC95" s="6">
        <v>0</v>
      </c>
      <c r="AD95" s="6">
        <v>0</v>
      </c>
      <c r="AE95" s="8">
        <v>0</v>
      </c>
      <c r="AF95" s="6">
        <v>0</v>
      </c>
      <c r="AG95" s="6">
        <v>0</v>
      </c>
      <c r="AH95" s="6">
        <v>0</v>
      </c>
      <c r="AI95" s="19">
        <v>0</v>
      </c>
      <c r="AJ95" s="18">
        <v>0</v>
      </c>
      <c r="AK95" s="6">
        <v>0</v>
      </c>
      <c r="AL95" s="6">
        <v>0</v>
      </c>
      <c r="AM95" s="6">
        <v>0</v>
      </c>
      <c r="AN95" s="7">
        <v>0</v>
      </c>
      <c r="AO95" s="6">
        <v>0</v>
      </c>
      <c r="AP95" s="6">
        <v>0</v>
      </c>
      <c r="AQ95" s="8">
        <v>0</v>
      </c>
      <c r="AR95" s="7">
        <v>0</v>
      </c>
      <c r="AS95" s="6">
        <v>0</v>
      </c>
      <c r="AT95" s="6">
        <v>0</v>
      </c>
      <c r="AU95" s="8">
        <v>0</v>
      </c>
      <c r="AV95" s="6">
        <v>0</v>
      </c>
      <c r="AW95" s="6">
        <v>0</v>
      </c>
      <c r="AX95" s="6">
        <v>0</v>
      </c>
      <c r="AY95" s="19">
        <v>0</v>
      </c>
      <c r="AZ95" s="18">
        <v>0</v>
      </c>
      <c r="BA95" s="6">
        <v>0</v>
      </c>
      <c r="BB95" s="6">
        <v>0</v>
      </c>
      <c r="BC95" s="6">
        <v>0</v>
      </c>
      <c r="BD95" s="7">
        <v>0</v>
      </c>
      <c r="BE95" s="6">
        <v>0</v>
      </c>
      <c r="BF95" s="6">
        <v>0</v>
      </c>
      <c r="BG95" s="8">
        <v>0</v>
      </c>
      <c r="BH95" s="7">
        <v>0</v>
      </c>
      <c r="BI95" s="6">
        <v>0</v>
      </c>
      <c r="BJ95" s="6">
        <v>0</v>
      </c>
      <c r="BK95" s="8">
        <v>0</v>
      </c>
      <c r="BL95" s="6">
        <v>0</v>
      </c>
      <c r="BM95" s="6">
        <v>0</v>
      </c>
      <c r="BN95" s="6">
        <v>0</v>
      </c>
      <c r="BO95" s="19">
        <v>0</v>
      </c>
    </row>
    <row r="96" spans="1:67" s="10" customFormat="1" x14ac:dyDescent="0.25">
      <c r="A96" s="14"/>
      <c r="C96" s="10">
        <v>93</v>
      </c>
      <c r="D96" s="14">
        <v>0</v>
      </c>
      <c r="E96" s="10">
        <v>0</v>
      </c>
      <c r="F96" s="10">
        <v>0</v>
      </c>
      <c r="G96" s="10">
        <v>0</v>
      </c>
      <c r="H96" s="1">
        <v>0</v>
      </c>
      <c r="I96" s="10">
        <v>0</v>
      </c>
      <c r="J96" s="10">
        <v>0</v>
      </c>
      <c r="K96" s="2">
        <v>0</v>
      </c>
      <c r="L96" s="1">
        <v>0</v>
      </c>
      <c r="M96" s="10">
        <v>0</v>
      </c>
      <c r="N96" s="10">
        <v>0</v>
      </c>
      <c r="O96" s="2">
        <v>0</v>
      </c>
      <c r="P96" s="10">
        <v>0</v>
      </c>
      <c r="Q96" s="10">
        <v>0</v>
      </c>
      <c r="R96" s="10">
        <v>0</v>
      </c>
      <c r="S96" s="15">
        <v>0</v>
      </c>
      <c r="T96" s="14">
        <v>0</v>
      </c>
      <c r="U96" s="10">
        <v>0</v>
      </c>
      <c r="V96" s="10">
        <v>0</v>
      </c>
      <c r="W96" s="10">
        <v>0</v>
      </c>
      <c r="X96" s="1">
        <v>0</v>
      </c>
      <c r="Y96" s="10">
        <v>0</v>
      </c>
      <c r="Z96" s="10">
        <v>0</v>
      </c>
      <c r="AA96" s="2">
        <v>0</v>
      </c>
      <c r="AB96" s="1">
        <v>0</v>
      </c>
      <c r="AC96" s="10">
        <v>0</v>
      </c>
      <c r="AD96" s="10">
        <v>0</v>
      </c>
      <c r="AE96" s="2">
        <v>0</v>
      </c>
      <c r="AF96" s="10">
        <v>0</v>
      </c>
      <c r="AG96" s="10">
        <v>0</v>
      </c>
      <c r="AH96" s="10">
        <v>0</v>
      </c>
      <c r="AI96" s="15">
        <v>0</v>
      </c>
      <c r="AJ96" s="14">
        <v>0</v>
      </c>
      <c r="AK96" s="10">
        <v>0</v>
      </c>
      <c r="AL96" s="10">
        <v>0</v>
      </c>
      <c r="AM96" s="10">
        <v>0</v>
      </c>
      <c r="AN96" s="1">
        <v>0</v>
      </c>
      <c r="AO96" s="10">
        <v>0</v>
      </c>
      <c r="AP96" s="10">
        <v>0</v>
      </c>
      <c r="AQ96" s="2">
        <v>0</v>
      </c>
      <c r="AR96" s="1">
        <v>0</v>
      </c>
      <c r="AS96" s="10">
        <v>0</v>
      </c>
      <c r="AT96" s="10">
        <v>0</v>
      </c>
      <c r="AU96" s="2">
        <v>0</v>
      </c>
      <c r="AV96" s="10">
        <v>0</v>
      </c>
      <c r="AW96" s="10">
        <v>0</v>
      </c>
      <c r="AX96" s="10">
        <v>0</v>
      </c>
      <c r="AY96" s="15">
        <v>0</v>
      </c>
      <c r="AZ96" s="14">
        <v>0</v>
      </c>
      <c r="BA96" s="10">
        <v>0</v>
      </c>
      <c r="BB96" s="10">
        <v>0</v>
      </c>
      <c r="BC96" s="10">
        <v>0</v>
      </c>
      <c r="BD96" s="1">
        <v>0</v>
      </c>
      <c r="BE96" s="10">
        <v>0</v>
      </c>
      <c r="BF96" s="10">
        <v>0</v>
      </c>
      <c r="BG96" s="2">
        <v>0</v>
      </c>
      <c r="BH96" s="1">
        <v>0</v>
      </c>
      <c r="BI96" s="10">
        <v>0</v>
      </c>
      <c r="BJ96" s="10">
        <v>0</v>
      </c>
      <c r="BK96" s="2">
        <v>0</v>
      </c>
      <c r="BL96" s="10">
        <v>0</v>
      </c>
      <c r="BM96" s="10">
        <v>0</v>
      </c>
      <c r="BN96" s="10">
        <v>0</v>
      </c>
      <c r="BO96" s="15">
        <v>0</v>
      </c>
    </row>
    <row r="97" spans="1:67" s="10" customFormat="1" x14ac:dyDescent="0.25">
      <c r="A97" s="14"/>
      <c r="C97" s="10">
        <v>94</v>
      </c>
      <c r="D97" s="14">
        <v>0</v>
      </c>
      <c r="E97" s="10">
        <v>0</v>
      </c>
      <c r="F97" s="10">
        <v>0</v>
      </c>
      <c r="G97" s="10">
        <v>0</v>
      </c>
      <c r="H97" s="1">
        <v>0</v>
      </c>
      <c r="I97" s="10">
        <v>0</v>
      </c>
      <c r="J97" s="10">
        <v>0</v>
      </c>
      <c r="K97" s="2">
        <v>0</v>
      </c>
      <c r="L97" s="1">
        <v>0</v>
      </c>
      <c r="M97" s="10">
        <v>0</v>
      </c>
      <c r="N97" s="10">
        <v>0</v>
      </c>
      <c r="O97" s="2">
        <v>0</v>
      </c>
      <c r="P97" s="10">
        <v>0</v>
      </c>
      <c r="Q97" s="10">
        <v>0</v>
      </c>
      <c r="R97" s="10">
        <v>0</v>
      </c>
      <c r="S97" s="15">
        <v>0</v>
      </c>
      <c r="T97" s="14">
        <v>0</v>
      </c>
      <c r="U97" s="10">
        <v>0</v>
      </c>
      <c r="V97" s="10">
        <v>0</v>
      </c>
      <c r="W97" s="10">
        <v>0</v>
      </c>
      <c r="X97" s="1">
        <v>0</v>
      </c>
      <c r="Y97" s="10">
        <v>0</v>
      </c>
      <c r="Z97" s="10">
        <v>0</v>
      </c>
      <c r="AA97" s="2">
        <v>0</v>
      </c>
      <c r="AB97" s="1">
        <v>0</v>
      </c>
      <c r="AC97" s="10">
        <v>0</v>
      </c>
      <c r="AD97" s="10">
        <v>0</v>
      </c>
      <c r="AE97" s="2">
        <v>0</v>
      </c>
      <c r="AF97" s="10">
        <v>0</v>
      </c>
      <c r="AG97" s="10">
        <v>0</v>
      </c>
      <c r="AH97" s="10">
        <v>0</v>
      </c>
      <c r="AI97" s="15">
        <v>0</v>
      </c>
      <c r="AJ97" s="14">
        <v>0</v>
      </c>
      <c r="AK97" s="10">
        <v>0</v>
      </c>
      <c r="AL97" s="10">
        <v>0</v>
      </c>
      <c r="AM97" s="10">
        <v>0</v>
      </c>
      <c r="AN97" s="1">
        <v>0</v>
      </c>
      <c r="AO97" s="10">
        <v>0</v>
      </c>
      <c r="AP97" s="10">
        <v>0</v>
      </c>
      <c r="AQ97" s="2">
        <v>0</v>
      </c>
      <c r="AR97" s="1">
        <v>0</v>
      </c>
      <c r="AS97" s="10">
        <v>0</v>
      </c>
      <c r="AT97" s="10">
        <v>0</v>
      </c>
      <c r="AU97" s="2">
        <v>0</v>
      </c>
      <c r="AV97" s="10">
        <v>0</v>
      </c>
      <c r="AW97" s="10">
        <v>0</v>
      </c>
      <c r="AX97" s="10">
        <v>0</v>
      </c>
      <c r="AY97" s="15">
        <v>0</v>
      </c>
      <c r="AZ97" s="14">
        <v>0</v>
      </c>
      <c r="BA97" s="10">
        <v>0</v>
      </c>
      <c r="BB97" s="10">
        <v>0</v>
      </c>
      <c r="BC97" s="10">
        <v>0</v>
      </c>
      <c r="BD97" s="1">
        <v>0</v>
      </c>
      <c r="BE97" s="10">
        <v>0</v>
      </c>
      <c r="BF97" s="10">
        <v>0</v>
      </c>
      <c r="BG97" s="2">
        <v>0</v>
      </c>
      <c r="BH97" s="1">
        <v>0</v>
      </c>
      <c r="BI97" s="10">
        <v>0</v>
      </c>
      <c r="BJ97" s="10">
        <v>0</v>
      </c>
      <c r="BK97" s="2">
        <v>0</v>
      </c>
      <c r="BL97" s="10">
        <v>0</v>
      </c>
      <c r="BM97" s="10">
        <v>0</v>
      </c>
      <c r="BN97" s="10">
        <v>0</v>
      </c>
      <c r="BO97" s="15">
        <v>0</v>
      </c>
    </row>
    <row r="98" spans="1:67" s="10" customFormat="1" x14ac:dyDescent="0.25">
      <c r="A98" s="14"/>
      <c r="C98" s="10">
        <v>95</v>
      </c>
      <c r="D98" s="14">
        <v>0</v>
      </c>
      <c r="E98" s="10">
        <v>0</v>
      </c>
      <c r="F98" s="10">
        <v>0</v>
      </c>
      <c r="G98" s="10">
        <v>0</v>
      </c>
      <c r="H98" s="1">
        <v>0</v>
      </c>
      <c r="I98" s="10">
        <v>0</v>
      </c>
      <c r="J98" s="10">
        <v>0</v>
      </c>
      <c r="K98" s="2">
        <v>0</v>
      </c>
      <c r="L98" s="1">
        <v>0</v>
      </c>
      <c r="M98" s="10">
        <v>0</v>
      </c>
      <c r="N98" s="10">
        <v>0</v>
      </c>
      <c r="O98" s="2">
        <v>0</v>
      </c>
      <c r="P98" s="10">
        <v>0</v>
      </c>
      <c r="Q98" s="10">
        <v>0</v>
      </c>
      <c r="R98" s="10">
        <v>0</v>
      </c>
      <c r="S98" s="15">
        <v>0</v>
      </c>
      <c r="T98" s="14">
        <v>0</v>
      </c>
      <c r="U98" s="10">
        <v>0</v>
      </c>
      <c r="V98" s="10">
        <v>0</v>
      </c>
      <c r="W98" s="10">
        <v>0</v>
      </c>
      <c r="X98" s="1">
        <v>0</v>
      </c>
      <c r="Y98" s="10">
        <v>0</v>
      </c>
      <c r="Z98" s="10">
        <v>0</v>
      </c>
      <c r="AA98" s="2">
        <v>0</v>
      </c>
      <c r="AB98" s="1">
        <v>0</v>
      </c>
      <c r="AC98" s="10">
        <v>0</v>
      </c>
      <c r="AD98" s="10">
        <v>0</v>
      </c>
      <c r="AE98" s="2">
        <v>0</v>
      </c>
      <c r="AF98" s="10">
        <v>0</v>
      </c>
      <c r="AG98" s="10">
        <v>0</v>
      </c>
      <c r="AH98" s="10">
        <v>0</v>
      </c>
      <c r="AI98" s="15">
        <v>0</v>
      </c>
      <c r="AJ98" s="14">
        <v>0</v>
      </c>
      <c r="AK98" s="10">
        <v>0</v>
      </c>
      <c r="AL98" s="10">
        <v>0</v>
      </c>
      <c r="AM98" s="10">
        <v>0</v>
      </c>
      <c r="AN98" s="1">
        <v>0</v>
      </c>
      <c r="AO98" s="10">
        <v>0</v>
      </c>
      <c r="AP98" s="10">
        <v>0</v>
      </c>
      <c r="AQ98" s="2">
        <v>0</v>
      </c>
      <c r="AR98" s="1">
        <v>0</v>
      </c>
      <c r="AS98" s="10">
        <v>0</v>
      </c>
      <c r="AT98" s="10">
        <v>0</v>
      </c>
      <c r="AU98" s="2">
        <v>0</v>
      </c>
      <c r="AV98" s="10">
        <v>0</v>
      </c>
      <c r="AW98" s="10">
        <v>0</v>
      </c>
      <c r="AX98" s="10">
        <v>0</v>
      </c>
      <c r="AY98" s="15">
        <v>0</v>
      </c>
      <c r="AZ98" s="14">
        <v>0</v>
      </c>
      <c r="BA98" s="10">
        <v>0</v>
      </c>
      <c r="BB98" s="10">
        <v>0</v>
      </c>
      <c r="BC98" s="10">
        <v>0</v>
      </c>
      <c r="BD98" s="1">
        <v>0</v>
      </c>
      <c r="BE98" s="10">
        <v>0</v>
      </c>
      <c r="BF98" s="10">
        <v>0</v>
      </c>
      <c r="BG98" s="2">
        <v>0</v>
      </c>
      <c r="BH98" s="1">
        <v>0</v>
      </c>
      <c r="BI98" s="10">
        <v>0</v>
      </c>
      <c r="BJ98" s="10">
        <v>0</v>
      </c>
      <c r="BK98" s="2">
        <v>0</v>
      </c>
      <c r="BL98" s="10">
        <v>0</v>
      </c>
      <c r="BM98" s="10">
        <v>0</v>
      </c>
      <c r="BN98" s="10">
        <v>0</v>
      </c>
      <c r="BO98" s="15">
        <v>0</v>
      </c>
    </row>
    <row r="99" spans="1:67" s="23" customFormat="1" ht="15.75" thickBot="1" x14ac:dyDescent="0.3">
      <c r="A99" s="22"/>
      <c r="C99" s="23">
        <v>96</v>
      </c>
      <c r="D99" s="22">
        <v>0</v>
      </c>
      <c r="E99" s="23">
        <v>0</v>
      </c>
      <c r="F99" s="23">
        <v>0</v>
      </c>
      <c r="G99" s="23">
        <v>0</v>
      </c>
      <c r="H99" s="24">
        <v>0</v>
      </c>
      <c r="I99" s="23">
        <v>0</v>
      </c>
      <c r="J99" s="23">
        <v>0</v>
      </c>
      <c r="K99" s="25">
        <v>0</v>
      </c>
      <c r="L99" s="24">
        <v>0</v>
      </c>
      <c r="M99" s="23">
        <v>0</v>
      </c>
      <c r="N99" s="23">
        <v>0</v>
      </c>
      <c r="O99" s="25">
        <v>0</v>
      </c>
      <c r="P99" s="23">
        <v>0</v>
      </c>
      <c r="Q99" s="23">
        <v>0</v>
      </c>
      <c r="R99" s="23">
        <v>0</v>
      </c>
      <c r="S99" s="26">
        <v>0</v>
      </c>
      <c r="T99" s="22">
        <v>0</v>
      </c>
      <c r="U99" s="23">
        <v>0</v>
      </c>
      <c r="V99" s="23">
        <v>0</v>
      </c>
      <c r="W99" s="23">
        <v>0</v>
      </c>
      <c r="X99" s="24">
        <v>0</v>
      </c>
      <c r="Y99" s="23">
        <v>0</v>
      </c>
      <c r="Z99" s="23">
        <v>0</v>
      </c>
      <c r="AA99" s="25">
        <v>0</v>
      </c>
      <c r="AB99" s="24">
        <v>0</v>
      </c>
      <c r="AC99" s="23">
        <v>0</v>
      </c>
      <c r="AD99" s="23">
        <v>0</v>
      </c>
      <c r="AE99" s="25">
        <v>0</v>
      </c>
      <c r="AF99" s="23">
        <v>0</v>
      </c>
      <c r="AG99" s="23">
        <v>0</v>
      </c>
      <c r="AH99" s="23">
        <v>0</v>
      </c>
      <c r="AI99" s="26">
        <v>0</v>
      </c>
      <c r="AJ99" s="22">
        <v>0</v>
      </c>
      <c r="AK99" s="23">
        <v>0</v>
      </c>
      <c r="AL99" s="23">
        <v>0</v>
      </c>
      <c r="AM99" s="23">
        <v>0</v>
      </c>
      <c r="AN99" s="24">
        <v>0</v>
      </c>
      <c r="AO99" s="23">
        <v>0</v>
      </c>
      <c r="AP99" s="23">
        <v>0</v>
      </c>
      <c r="AQ99" s="25">
        <v>0</v>
      </c>
      <c r="AR99" s="24">
        <v>0</v>
      </c>
      <c r="AS99" s="23">
        <v>0</v>
      </c>
      <c r="AT99" s="23">
        <v>0</v>
      </c>
      <c r="AU99" s="25">
        <v>0</v>
      </c>
      <c r="AV99" s="23">
        <v>0</v>
      </c>
      <c r="AW99" s="23">
        <v>0</v>
      </c>
      <c r="AX99" s="23">
        <v>0</v>
      </c>
      <c r="AY99" s="26">
        <v>0</v>
      </c>
      <c r="AZ99" s="22">
        <v>0</v>
      </c>
      <c r="BA99" s="23">
        <v>0</v>
      </c>
      <c r="BB99" s="23">
        <v>0</v>
      </c>
      <c r="BC99" s="23">
        <v>0</v>
      </c>
      <c r="BD99" s="24">
        <v>0</v>
      </c>
      <c r="BE99" s="23">
        <v>0</v>
      </c>
      <c r="BF99" s="23">
        <v>0</v>
      </c>
      <c r="BG99" s="25">
        <v>0</v>
      </c>
      <c r="BH99" s="24">
        <v>0</v>
      </c>
      <c r="BI99" s="23">
        <v>0</v>
      </c>
      <c r="BJ99" s="23">
        <v>0</v>
      </c>
      <c r="BK99" s="25">
        <v>0</v>
      </c>
      <c r="BL99" s="23">
        <v>0</v>
      </c>
      <c r="BM99" s="23">
        <v>0</v>
      </c>
      <c r="BN99" s="23">
        <v>0</v>
      </c>
      <c r="BO99" s="26">
        <v>0</v>
      </c>
    </row>
  </sheetData>
  <conditionalFormatting sqref="D4:BO99">
    <cfRule type="cellIs" dxfId="2" priority="1" operator="equal">
      <formula>2</formula>
    </cfRule>
    <cfRule type="cellIs" dxfId="1" priority="2" operator="equal">
      <formula>1</formula>
    </cfRule>
    <cfRule type="cellIs" dxfId="0" priority="3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65</vt:i4>
      </vt:variant>
    </vt:vector>
  </HeadingPairs>
  <TitlesOfParts>
    <vt:vector size="65" baseType="lpstr">
      <vt:lpstr>0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A</vt:lpstr>
      <vt:lpstr>B</vt:lpstr>
      <vt:lpstr>C</vt:lpstr>
      <vt:lpstr>D</vt:lpstr>
      <vt:lpstr>E</vt:lpstr>
      <vt:lpstr>F</vt:lpstr>
      <vt:lpstr>G</vt:lpstr>
      <vt:lpstr>H</vt:lpstr>
      <vt:lpstr>I</vt:lpstr>
      <vt:lpstr>J</vt:lpstr>
      <vt:lpstr>K</vt:lpstr>
      <vt:lpstr>L</vt:lpstr>
      <vt:lpstr>M</vt:lpstr>
      <vt:lpstr>N</vt:lpstr>
      <vt:lpstr>O</vt:lpstr>
      <vt:lpstr>P</vt:lpstr>
      <vt:lpstr>Q</vt:lpstr>
      <vt:lpstr>R</vt:lpstr>
      <vt:lpstr>S</vt:lpstr>
      <vt:lpstr>T</vt:lpstr>
      <vt:lpstr>U</vt:lpstr>
      <vt:lpstr>V</vt:lpstr>
      <vt:lpstr>W</vt:lpstr>
      <vt:lpstr>X</vt:lpstr>
      <vt:lpstr>Y</vt:lpstr>
      <vt:lpstr>Z</vt:lpstr>
      <vt:lpstr>A (2)</vt:lpstr>
      <vt:lpstr>B (2)</vt:lpstr>
      <vt:lpstr>C (2)</vt:lpstr>
      <vt:lpstr>D (2)</vt:lpstr>
      <vt:lpstr>E (2)</vt:lpstr>
      <vt:lpstr>F (2)</vt:lpstr>
      <vt:lpstr>G (2)</vt:lpstr>
      <vt:lpstr>H (2)</vt:lpstr>
      <vt:lpstr>I (2)</vt:lpstr>
      <vt:lpstr>J (2)</vt:lpstr>
      <vt:lpstr>K (2)</vt:lpstr>
      <vt:lpstr>L (2)</vt:lpstr>
      <vt:lpstr>M (2)</vt:lpstr>
      <vt:lpstr>N (2)</vt:lpstr>
      <vt:lpstr>O (2)</vt:lpstr>
      <vt:lpstr>P (2)</vt:lpstr>
      <vt:lpstr>Q (2)</vt:lpstr>
      <vt:lpstr>R (2)</vt:lpstr>
      <vt:lpstr>S (2)</vt:lpstr>
      <vt:lpstr>T (2)</vt:lpstr>
      <vt:lpstr>U (2)</vt:lpstr>
      <vt:lpstr>V (2)</vt:lpstr>
      <vt:lpstr>W (2)</vt:lpstr>
      <vt:lpstr>X (2)</vt:lpstr>
      <vt:lpstr>Y (2)</vt:lpstr>
      <vt:lpstr>Z (2)</vt:lpstr>
      <vt:lpstr>Bytes por buffer</vt:lpstr>
      <vt:lpstr>Planilha3</vt:lpstr>
      <vt:lpstr>Base Painel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Renato Simão</dc:creator>
  <cp:lastModifiedBy>Renato Simão</cp:lastModifiedBy>
  <dcterms:created xsi:type="dcterms:W3CDTF">2019-11-24T15:23:26Z</dcterms:created>
  <dcterms:modified xsi:type="dcterms:W3CDTF">2019-12-07T02:23:47Z</dcterms:modified>
</cp:coreProperties>
</file>